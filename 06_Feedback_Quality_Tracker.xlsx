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namedSheetViews/namedSheetView1.xml" ContentType="application/vnd.ms-excel.namedsheetviews+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wadhwanifoundation-my.sharepoint.com/personal/meenakshi_singh_wadhwanifoundation_org/Documents/04. Advisors/2026/Accelerate Core-Select Assets/"/>
    </mc:Choice>
  </mc:AlternateContent>
  <xr:revisionPtr revIDLastSave="1034" documentId="11_F2C2F77191705977795741CB71DC2AAB7A7AEE58" xr6:coauthVersionLast="47" xr6:coauthVersionMax="47" xr10:uidLastSave="{01B6A5B2-8F78-4FF8-A4D9-0611E6D92D63}"/>
  <bookViews>
    <workbookView xWindow="-108" yWindow="-108" windowWidth="23256" windowHeight="12456" tabRatio="842" xr2:uid="{00000000-000D-0000-FFFF-FFFF00000000}"/>
  </bookViews>
  <sheets>
    <sheet name="Session Feedback" sheetId="3" r:id="rId1"/>
    <sheet name="DUPLICATES" sheetId="8" r:id="rId2"/>
    <sheet name="SESSION FEEDBACK PIVOT TABLE" sheetId="6" r:id="rId3"/>
    <sheet name="Quality Dashboard" sheetId="2" r:id="rId4"/>
    <sheet name="Feedback from Mentor" sheetId="4" r:id="rId5"/>
    <sheet name="Feedback from Mentor Pivot " sheetId="7" r:id="rId6"/>
    <sheet name="NPS Calculation" sheetId="5" r:id="rId7"/>
  </sheets>
  <definedNames>
    <definedName name="_xlnm._FilterDatabase" localSheetId="4" hidden="1">'Feedback from Mentor'!$A$1:$AB$1</definedName>
    <definedName name="_xlnm._FilterDatabase" localSheetId="0" hidden="1">'Session Feedback'!$B$1:$V$111</definedName>
    <definedName name="_xlcn.WorksheetConnection_06_Feedback_Quality_Tracker.xlsxFeedbacks1" hidden="1">FeedbackTracker[]</definedName>
  </definedNames>
  <calcPr calcId="191028"/>
  <pivotCaches>
    <pivotCache cacheId="1" r:id="rId8"/>
    <pivotCache cacheId="2" r:id="rId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edbacks" name="Feedbacks" connection="WorksheetConnection_06_Feedback_Quality_Tracker.xlsx!Feedbacks"/>
        </x15:modelTables>
        <x15:extLst>
          <ext xmlns:x16="http://schemas.microsoft.com/office/spreadsheetml/2014/11/main" uri="{9835A34E-60A6-4A7C-AAB8-D5F71C897F49}">
            <x16:modelTimeGroupings>
              <x16:modelTimeGrouping tableName="Feedbacks" columnName="Date (Week)" columnId="Date (Week)">
                <x16:calculatedTimeColumn columnName="Date (Week) (Year)" columnId="Date (Week) (Year)" contentType="years" isSelected="1"/>
                <x16:calculatedTimeColumn columnName="Date (Week) (Quarter)" columnId="Date (Week) (Quarter)" contentType="quarters" isSelected="0"/>
                <x16:calculatedTimeColumn columnName="Date (Week) (Month Index)" columnId="Date (Week) (Month Index)" contentType="monthsindex" isSelected="0"/>
                <x16:calculatedTimeColumn columnName="Date (Week) (Month)" columnId="Date (Week) (Month)" contentType="month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Q12" i="8" l="1"/>
  <c r="R12" i="8"/>
  <c r="S12" i="8"/>
  <c r="T12" i="8"/>
  <c r="E12" i="8"/>
  <c r="J12" i="8" s="1"/>
  <c r="S2" i="3"/>
  <c r="T2" i="3"/>
  <c r="U2" i="3"/>
  <c r="V2" i="3"/>
  <c r="T11" i="8"/>
  <c r="S11" i="8"/>
  <c r="R11" i="8"/>
  <c r="Q11" i="8"/>
  <c r="E11" i="8"/>
  <c r="J11" i="8" s="1"/>
  <c r="C22" i="5"/>
  <c r="B22" i="5"/>
  <c r="Q10" i="8"/>
  <c r="R10" i="8"/>
  <c r="S10" i="8"/>
  <c r="T10" i="8"/>
  <c r="E10" i="8"/>
  <c r="J10" i="8"/>
  <c r="Q9" i="8"/>
  <c r="R9" i="8"/>
  <c r="S9" i="8"/>
  <c r="T9" i="8"/>
  <c r="E9" i="8"/>
  <c r="J9" i="8"/>
  <c r="Q8" i="8"/>
  <c r="R8" i="8"/>
  <c r="S8" i="8"/>
  <c r="T8" i="8"/>
  <c r="E8" i="8"/>
  <c r="J8" i="8"/>
  <c r="Q7" i="8"/>
  <c r="R7" i="8"/>
  <c r="S7" i="8"/>
  <c r="T7" i="8"/>
  <c r="E7" i="8"/>
  <c r="J7" i="8"/>
  <c r="Q6" i="8"/>
  <c r="R6" i="8"/>
  <c r="S6" i="8"/>
  <c r="T6" i="8"/>
  <c r="Q5" i="8"/>
  <c r="R5" i="8"/>
  <c r="S5" i="8"/>
  <c r="T5" i="8"/>
  <c r="Q4" i="8"/>
  <c r="R4" i="8"/>
  <c r="S4" i="8"/>
  <c r="T4" i="8"/>
  <c r="E4" i="8"/>
  <c r="J4" i="8" s="1"/>
  <c r="Q3" i="8"/>
  <c r="R3" i="8"/>
  <c r="S3" i="8"/>
  <c r="T3" i="8"/>
  <c r="E3" i="8"/>
  <c r="J3" i="8"/>
  <c r="Q2" i="8"/>
  <c r="R2" i="8"/>
  <c r="S2" i="8"/>
  <c r="T2" i="8"/>
  <c r="E2" i="8"/>
  <c r="J2" i="8" s="1"/>
  <c r="S4" i="3"/>
  <c r="T4" i="3"/>
  <c r="S3" i="3"/>
  <c r="S5" i="3"/>
  <c r="G5" i="3" s="1"/>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T3"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V4" i="3"/>
  <c r="U3" i="3"/>
  <c r="V3" i="3"/>
  <c r="U6" i="3"/>
  <c r="V6" i="3"/>
  <c r="V5" i="3"/>
  <c r="V7" i="3"/>
  <c r="U7" i="3"/>
  <c r="V9" i="3"/>
  <c r="U9" i="3"/>
  <c r="V8" i="3"/>
  <c r="U8"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U10" i="3"/>
  <c r="U11" i="3"/>
  <c r="U12" i="3"/>
  <c r="U13" i="3"/>
  <c r="F12" i="5"/>
  <c r="F11" i="5"/>
  <c r="F10" i="5"/>
  <c r="F14" i="5" s="1"/>
  <c r="F8" i="5"/>
  <c r="F4" i="5"/>
  <c r="F5" i="5"/>
  <c r="F6" i="5"/>
  <c r="F7" i="5"/>
  <c r="F3" i="5"/>
  <c r="B4" i="5"/>
  <c r="B5" i="5"/>
  <c r="B6" i="5"/>
  <c r="B7" i="5"/>
  <c r="B3" i="5"/>
  <c r="AA32" i="4"/>
  <c r="AB32" i="4" s="1"/>
  <c r="AA31" i="4"/>
  <c r="AB31" i="4" s="1"/>
  <c r="AA30" i="4"/>
  <c r="AB30" i="4" s="1"/>
  <c r="AA29" i="4"/>
  <c r="AB29" i="4" s="1"/>
  <c r="AA28" i="4"/>
  <c r="AB28" i="4" s="1"/>
  <c r="AA27" i="4"/>
  <c r="AB27" i="4" s="1"/>
  <c r="AA26" i="4"/>
  <c r="AB26" i="4" s="1"/>
  <c r="AA25" i="4"/>
  <c r="AB25" i="4" s="1"/>
  <c r="AA24" i="4"/>
  <c r="AB24" i="4" s="1"/>
  <c r="AA23" i="4"/>
  <c r="AB23" i="4" s="1"/>
  <c r="AA22" i="4"/>
  <c r="AB22" i="4" s="1"/>
  <c r="AA21" i="4"/>
  <c r="AB21" i="4" s="1"/>
  <c r="AA20" i="4"/>
  <c r="AB20" i="4" s="1"/>
  <c r="AA19" i="4"/>
  <c r="AB19" i="4" s="1"/>
  <c r="AA18" i="4"/>
  <c r="AB18" i="4" s="1"/>
  <c r="AA17" i="4"/>
  <c r="AB17" i="4" s="1"/>
  <c r="AA16" i="4"/>
  <c r="AB16" i="4" s="1"/>
  <c r="AA15" i="4"/>
  <c r="AB15" i="4" s="1"/>
  <c r="AA14" i="4"/>
  <c r="AB14" i="4" s="1"/>
  <c r="AA13" i="4"/>
  <c r="AB13" i="4" s="1"/>
  <c r="AA12" i="4"/>
  <c r="AB12" i="4" s="1"/>
  <c r="AA11" i="4"/>
  <c r="AB11" i="4" s="1"/>
  <c r="AA10" i="4"/>
  <c r="AB10" i="4" s="1"/>
  <c r="AA9" i="4"/>
  <c r="AB9" i="4" s="1"/>
  <c r="AA8" i="4"/>
  <c r="AB8" i="4" s="1"/>
  <c r="AA7" i="4"/>
  <c r="AB7" i="4" s="1"/>
  <c r="AA6" i="4"/>
  <c r="AB6" i="4" s="1"/>
  <c r="AA5" i="4"/>
  <c r="AB5" i="4" s="1"/>
  <c r="AA4" i="4"/>
  <c r="AB4" i="4" s="1"/>
  <c r="AA3" i="4"/>
  <c r="AB3" i="4" s="1"/>
  <c r="AA2" i="4"/>
  <c r="AB2" i="4" s="1"/>
  <c r="U14" i="3"/>
  <c r="U15"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6" i="3"/>
  <c r="U17" i="3"/>
  <c r="U18" i="3"/>
  <c r="U19" i="3"/>
  <c r="U20" i="3"/>
  <c r="U68" i="3"/>
  <c r="U69" i="3"/>
  <c r="U70" i="3"/>
  <c r="U71" i="3"/>
  <c r="U72" i="3"/>
  <c r="U73" i="3"/>
  <c r="U74" i="3"/>
  <c r="U75" i="3"/>
  <c r="U76" i="3"/>
  <c r="U77" i="3"/>
  <c r="U78" i="3"/>
  <c r="U79" i="3"/>
  <c r="U80" i="3"/>
  <c r="U81" i="3"/>
  <c r="U82" i="3"/>
  <c r="U83" i="3"/>
  <c r="B3" i="2"/>
  <c r="B2" i="2"/>
  <c r="G2" i="3" l="1"/>
  <c r="E5" i="8"/>
  <c r="J5" i="8" s="1"/>
  <c r="E6" i="8"/>
  <c r="J6" i="8" s="1"/>
  <c r="G4" i="3"/>
  <c r="G32" i="3"/>
  <c r="G50" i="3"/>
  <c r="G57" i="3"/>
  <c r="G64" i="3"/>
  <c r="G72" i="3"/>
  <c r="G80" i="3"/>
  <c r="G85" i="3"/>
  <c r="G92" i="3"/>
  <c r="G97" i="3"/>
  <c r="G104" i="3"/>
  <c r="G8" i="3"/>
  <c r="G11" i="3"/>
  <c r="G15" i="3"/>
  <c r="G17" i="3"/>
  <c r="G20" i="3"/>
  <c r="G23" i="3"/>
  <c r="G27" i="3"/>
  <c r="G31" i="3"/>
  <c r="G36" i="3"/>
  <c r="G39" i="3"/>
  <c r="G43" i="3"/>
  <c r="G47" i="3"/>
  <c r="G52" i="3"/>
  <c r="G55" i="3"/>
  <c r="G59" i="3"/>
  <c r="G66" i="3"/>
  <c r="G73" i="3"/>
  <c r="G79" i="3"/>
  <c r="G84" i="3"/>
  <c r="G89" i="3"/>
  <c r="G95" i="3"/>
  <c r="G101" i="3"/>
  <c r="G107" i="3"/>
  <c r="G6" i="3"/>
  <c r="G10" i="3"/>
  <c r="G14" i="3"/>
  <c r="G18" i="3"/>
  <c r="G22" i="3"/>
  <c r="G24" i="3"/>
  <c r="G28" i="3"/>
  <c r="G30" i="3"/>
  <c r="G35" i="3"/>
  <c r="G41" i="3"/>
  <c r="G44" i="3"/>
  <c r="G49" i="3"/>
  <c r="G53" i="3"/>
  <c r="G58" i="3"/>
  <c r="G62" i="3"/>
  <c r="G67" i="3"/>
  <c r="G70" i="3"/>
  <c r="G76" i="3"/>
  <c r="G86" i="3"/>
  <c r="G91" i="3"/>
  <c r="G98" i="3"/>
  <c r="G105" i="3"/>
  <c r="G110" i="3"/>
  <c r="G13" i="3"/>
  <c r="G25" i="3"/>
  <c r="G33" i="3"/>
  <c r="G37" i="3"/>
  <c r="G40" i="3"/>
  <c r="G45" i="3"/>
  <c r="G48" i="3"/>
  <c r="G56" i="3"/>
  <c r="G60" i="3"/>
  <c r="G65" i="3"/>
  <c r="G71" i="3"/>
  <c r="G78" i="3"/>
  <c r="G82" i="3"/>
  <c r="G88" i="3"/>
  <c r="G93" i="3"/>
  <c r="G99" i="3"/>
  <c r="G108" i="3"/>
  <c r="G3" i="3"/>
  <c r="G7" i="3"/>
  <c r="G9" i="3"/>
  <c r="L9" i="3" s="1"/>
  <c r="G12" i="3"/>
  <c r="G16" i="3"/>
  <c r="G19" i="3"/>
  <c r="G21" i="3"/>
  <c r="G26" i="3"/>
  <c r="G29" i="3"/>
  <c r="G34" i="3"/>
  <c r="G38" i="3"/>
  <c r="G42" i="3"/>
  <c r="G46" i="3"/>
  <c r="G51" i="3"/>
  <c r="G54" i="3"/>
  <c r="G63" i="3"/>
  <c r="G69" i="3"/>
  <c r="G77" i="3"/>
  <c r="G83" i="3"/>
  <c r="G90" i="3"/>
  <c r="G96" i="3"/>
  <c r="G102" i="3"/>
  <c r="G109" i="3"/>
  <c r="G61" i="3"/>
  <c r="G68" i="3"/>
  <c r="G75" i="3"/>
  <c r="G81" i="3"/>
  <c r="G87" i="3"/>
  <c r="G94" i="3"/>
  <c r="G100" i="3"/>
  <c r="G106" i="3"/>
  <c r="G74" i="3"/>
  <c r="G103" i="3"/>
  <c r="U4" i="3"/>
  <c r="U5" i="3"/>
  <c r="L5" i="3" l="1"/>
  <c r="L8" i="3"/>
  <c r="L21" i="3"/>
  <c r="L32" i="3"/>
  <c r="L41" i="3"/>
  <c r="L52" i="3"/>
  <c r="L62" i="3"/>
  <c r="L73" i="3"/>
  <c r="L85" i="3"/>
  <c r="L97" i="3"/>
  <c r="L17" i="3"/>
  <c r="L26" i="3"/>
  <c r="L35" i="3"/>
  <c r="L45" i="3"/>
  <c r="L57" i="3"/>
  <c r="L66" i="3"/>
  <c r="L78" i="3"/>
  <c r="L90" i="3"/>
  <c r="L102" i="3"/>
  <c r="L19" i="3"/>
  <c r="L29" i="3"/>
  <c r="L49" i="3"/>
  <c r="L94" i="3"/>
  <c r="L43" i="3"/>
  <c r="L100" i="3"/>
  <c r="L22" i="3"/>
  <c r="L42" i="3"/>
  <c r="L53" i="3"/>
  <c r="L74" i="3"/>
  <c r="L86" i="3"/>
  <c r="L98" i="3"/>
  <c r="L18" i="3"/>
  <c r="L27" i="3"/>
  <c r="L46" i="3"/>
  <c r="L58" i="3"/>
  <c r="L67" i="3"/>
  <c r="L79" i="3"/>
  <c r="L103" i="3"/>
  <c r="L20" i="3"/>
  <c r="L30" i="3"/>
  <c r="L39" i="3"/>
  <c r="L50" i="3"/>
  <c r="L60" i="3"/>
  <c r="L71" i="3"/>
  <c r="L83" i="3"/>
  <c r="L95" i="3"/>
  <c r="L107" i="3"/>
  <c r="L76" i="3"/>
  <c r="L23" i="3"/>
  <c r="L33" i="3"/>
  <c r="L54" i="3"/>
  <c r="L63" i="3"/>
  <c r="L75" i="3"/>
  <c r="L87" i="3"/>
  <c r="L99" i="3"/>
  <c r="L59" i="3"/>
  <c r="L68" i="3"/>
  <c r="L92" i="3"/>
  <c r="L104" i="3"/>
  <c r="L31" i="3"/>
  <c r="L40" i="3"/>
  <c r="L51" i="3"/>
  <c r="L61" i="3"/>
  <c r="L72" i="3"/>
  <c r="L84" i="3"/>
  <c r="L96" i="3"/>
  <c r="L24" i="3"/>
  <c r="L64" i="3"/>
  <c r="L88" i="3"/>
  <c r="L34" i="3"/>
  <c r="L16" i="3"/>
  <c r="L55" i="3"/>
  <c r="L48" i="3"/>
  <c r="L69" i="3"/>
  <c r="L93" i="3"/>
  <c r="L105" i="3"/>
  <c r="L91" i="3"/>
  <c r="L47" i="3"/>
  <c r="L80" i="3"/>
  <c r="L37" i="3"/>
  <c r="L81" i="3"/>
  <c r="L38" i="3"/>
  <c r="L36" i="3"/>
  <c r="L28" i="3"/>
  <c r="L82" i="3"/>
  <c r="L101" i="3"/>
  <c r="L70" i="3"/>
  <c r="L25" i="3"/>
  <c r="L44" i="3"/>
  <c r="L56" i="3"/>
  <c r="L65" i="3"/>
  <c r="L77" i="3"/>
  <c r="L89" i="3"/>
  <c r="L106" i="3"/>
  <c r="B7" i="2"/>
  <c r="B12" i="5"/>
  <c r="B5" i="2"/>
  <c r="B4" i="2"/>
  <c r="L7" i="3" l="1"/>
  <c r="B8" i="2" s="1"/>
  <c r="B11" i="5"/>
  <c r="B8" i="5"/>
  <c r="B10" i="5"/>
  <c r="B14" i="5" l="1"/>
  <c r="B6"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856F00-79D4-437D-9310-278B9C24838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FF0FBA1-924D-4AF9-963E-53487119D52D}" name="WorksheetConnection_06_Feedback_Quality_Tracker.xlsx!Feedbacks" type="102" refreshedVersion="8" minRefreshableVersion="5">
    <extLst>
      <ext xmlns:x15="http://schemas.microsoft.com/office/spreadsheetml/2010/11/main" uri="{DE250136-89BD-433C-8126-D09CA5730AF9}">
        <x15:connection id="Feedbacks" autoDelete="1">
          <x15:rangePr sourceName="_xlcn.WorksheetConnection_06_Feedback_Quality_Tracker.xlsxFeedback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Feedbacks].[Response Category].&amp;,[Feedbacks].[Response Category].&amp;[Received],[Feedbacks].[Response Category].&amp;[Pending Reply],[Feedbacks].[Response Category].&amp;[No Response: Call Disconnected]}"/>
  </metadataStrings>
  <mdxMetadata count="1">
    <mdx n="0" f="s">
      <ms ns="1" c="0"/>
    </mdx>
  </mdxMetadata>
  <valueMetadata count="1">
    <bk>
      <rc t="1" v="0"/>
    </bk>
  </valueMetadata>
</metadata>
</file>

<file path=xl/sharedStrings.xml><?xml version="1.0" encoding="utf-8"?>
<sst xmlns="http://schemas.openxmlformats.org/spreadsheetml/2006/main" count="1529" uniqueCount="462">
  <si>
    <t>Respondent ID</t>
  </si>
  <si>
    <t>Date</t>
  </si>
  <si>
    <t>Venture Name</t>
  </si>
  <si>
    <t>Program Tier</t>
  </si>
  <si>
    <t>Hub</t>
  </si>
  <si>
    <t>Mentor Name</t>
  </si>
  <si>
    <t>Overall Rating (1-5)</t>
  </si>
  <si>
    <t>How useful was this mentor session for your current business priorities?</t>
  </si>
  <si>
    <t>Actionability of Advice</t>
  </si>
  <si>
    <t>Follow-Up Requested?</t>
  </si>
  <si>
    <t>Verbatim Feedback</t>
  </si>
  <si>
    <t>Flagged (≤3)?</t>
  </si>
  <si>
    <t>Action Taken</t>
  </si>
  <si>
    <t>Response Category</t>
  </si>
  <si>
    <t>Feedback category</t>
  </si>
  <si>
    <t>Remarks</t>
  </si>
  <si>
    <t>Resolved?</t>
  </si>
  <si>
    <t>Reviewed In Stand-Up?</t>
  </si>
  <si>
    <t>#
How useful was this mentor session for your current business priorities?</t>
  </si>
  <si>
    <t>#
Actionability of Advice</t>
  </si>
  <si>
    <t>#
Follow-Up Requested?</t>
  </si>
  <si>
    <t>Date (Week)</t>
  </si>
  <si>
    <t>Tikitoro</t>
  </si>
  <si>
    <t>Gaurav Bansal</t>
  </si>
  <si>
    <t>Very useful</t>
  </si>
  <si>
    <t>Partly</t>
  </si>
  <si>
    <t>Yes</t>
  </si>
  <si>
    <t>The mentor was good and want to meet him even but will fix the agenda and if he agrees that he will be fit for that then only I need a call with him.</t>
  </si>
  <si>
    <t>1st Intro call</t>
  </si>
  <si>
    <t>Terrablu</t>
  </si>
  <si>
    <t>Anant Sood</t>
  </si>
  <si>
    <t>The session was good. The clearity with which Mr. sood was taking session was beyond imagination.</t>
  </si>
  <si>
    <t>Eximburg International</t>
  </si>
  <si>
    <t>Kushagra Gupta</t>
  </si>
  <si>
    <t>No</t>
  </si>
  <si>
    <t>The mentor was good but same as mentioned earlier we needed somebody to audit our amazon account.</t>
  </si>
  <si>
    <t>Received</t>
  </si>
  <si>
    <t>14-May-2026: Venture denied for another session with mentor</t>
  </si>
  <si>
    <t>Sriram Chidambaram</t>
  </si>
  <si>
    <t>It was meaningful sssion but we want to more sessions about the valuation.</t>
  </si>
  <si>
    <t>Zeus Engitech Private Limited</t>
  </si>
  <si>
    <t>Ankit Majumdar</t>
  </si>
  <si>
    <t>Moderately useful</t>
  </si>
  <si>
    <t>I selected “Moderately” because I would like to first implement the insights and suggestions shared, and then evaluate how effective they are. Overall, the session was very good.</t>
  </si>
  <si>
    <t>13-Apr-2026: The mentor was good, but they wanted to see if the suggestions are truely useful at time of implementation.</t>
  </si>
  <si>
    <t>Manufyx</t>
  </si>
  <si>
    <t>Sanjay Sharma</t>
  </si>
  <si>
    <t>The session was very nice and Wadhwani is giving us what we need.</t>
  </si>
  <si>
    <t>13-May-2026: Venture denied for another session with mentor</t>
  </si>
  <si>
    <t>Sarumam Pharmacy</t>
  </si>
  <si>
    <t>Ajay Rungta</t>
  </si>
  <si>
    <t>He was able to identify what I needed and provided the solutions to me immediately.</t>
  </si>
  <si>
    <t>REAGRI - NANOBEE BIOINNOVATIONS</t>
  </si>
  <si>
    <t>Suhasini Barman</t>
  </si>
  <si>
    <t>The session was very useful.</t>
  </si>
  <si>
    <t>VideoSDK</t>
  </si>
  <si>
    <t>Mithun Kumar Mahendra</t>
  </si>
  <si>
    <t>Extremely useful</t>
  </si>
  <si>
    <t>The session was very amazing. Wanted to connect to other mentor that is Mr. Sid Pandey.</t>
  </si>
  <si>
    <t>Leap Info</t>
  </si>
  <si>
    <t>Dr. Naman Agarwal</t>
  </si>
  <si>
    <t>I was expecting insights on business opportunities from the Netherlands side, but the discussion was mostly around Indian government startup schemes.</t>
  </si>
  <si>
    <t>Reached out: Response Received</t>
  </si>
  <si>
    <t>1st Intro Call</t>
  </si>
  <si>
    <t>7-May-2026: The venture shared that they were expecting more discussion around Netherlands-side business opportunities, since the expert was from the Netherlands Embassy. However, they had been connected with Naman specifically for IP and patent-related guidance, and they found the session informative overall.
We also checked if they wanted any further mentor connect, but currently they don’t have any additional requirements.</t>
  </si>
  <si>
    <t>Svan Autotech</t>
  </si>
  <si>
    <t>We want to take his help in making the financial projections. It will greatly help us close the current round.</t>
  </si>
  <si>
    <t>Keepsake Automation Pvt Ltd</t>
  </si>
  <si>
    <t>Garima Mitra</t>
  </si>
  <si>
    <t xml:space="preserve">Mentor offered us paid services for advice and we don't </t>
  </si>
  <si>
    <t>Misalignment</t>
  </si>
  <si>
    <t>Elite Decor Pvt. Ltd</t>
  </si>
  <si>
    <t>Vinod Keni</t>
  </si>
  <si>
    <t xml:space="preserve">the sesession was good and wanted to have one more follow session with him.  </t>
  </si>
  <si>
    <t>22-Apr-2026: Wanted one more session with mentor</t>
  </si>
  <si>
    <t>MiCoB Pvt Ltd</t>
  </si>
  <si>
    <t>Amit Saluja</t>
  </si>
  <si>
    <t>Want one more session  and was very good session.</t>
  </si>
  <si>
    <t xml:space="preserve">17-04-2026: </t>
  </si>
  <si>
    <t>Torchit</t>
  </si>
  <si>
    <t>The session was good and mentor is perfectly fine.</t>
  </si>
  <si>
    <t>Bipolar Factory</t>
  </si>
  <si>
    <t xml:space="preserve">It was very good session and will tell when we want to get connected again </t>
  </si>
  <si>
    <t>Shridhar N Upadhye</t>
  </si>
  <si>
    <t xml:space="preserve">Mr. Krishna Dorai was excellent and gave some great insights and executable action points in the session. It was great connecting with him. </t>
  </si>
  <si>
    <t>Stembotix</t>
  </si>
  <si>
    <t>Amiya Srivastava</t>
  </si>
  <si>
    <t>Want to meet the mentor again in Mid April</t>
  </si>
  <si>
    <t>We discussed on clearity and looking forward to meet with mentor again.</t>
  </si>
  <si>
    <t>Bull AgriTech</t>
  </si>
  <si>
    <t>Shailendrasinh Rajput</t>
  </si>
  <si>
    <t>Wanted to connected with mentor again, as he is a very good fit for our requirement.</t>
  </si>
  <si>
    <t>18-mar-2026: The venture expected immediate advice, but as it was an introductory call, the mentor focused on understanding the venture first.</t>
  </si>
  <si>
    <t>Bebe Burp</t>
  </si>
  <si>
    <t>Bharat Hudadalli</t>
  </si>
  <si>
    <t>The session gave us a good insight for D2C but moreover he is about to get back to us with a proposal for the service he can offer in 4 days</t>
  </si>
  <si>
    <t>31-mar-2026: It was an intro call that's why mentor didn't gave his feedbacks and venture wants to get connected with mentor again
26-Mar-2026: Not reachable</t>
  </si>
  <si>
    <t>Aeronero Solutions Private Limited</t>
  </si>
  <si>
    <t>I want a deep dive in some specific areas</t>
  </si>
  <si>
    <t>13-Mar-2026: Venture found that mentor is suitable for early age startups but not entures like them. The knowledge was at very basic and useful for early age startups</t>
  </si>
  <si>
    <t>Vaultastic</t>
  </si>
  <si>
    <t>Deepak Srinivasan</t>
  </si>
  <si>
    <t>The session was okay and we are looking more detailed for BFSI.</t>
  </si>
  <si>
    <t>26-Mar-2026: Mr. Srinivasan is an early age startup mentor, we want some mature mentors who can replicate Banking model. Informed Rishabh about this and want mentor for fundraising thing and was conveyed to Rishabh about this.</t>
  </si>
  <si>
    <t>Bharat really has great knowledge and want to connect with  him again he has knowledge for scaleup thing</t>
  </si>
  <si>
    <t>11-Mar-2026: The venture expected immediate advice, but as it was an introductory call, the mentor focused on understanding the venture first.</t>
  </si>
  <si>
    <t>Sivesh Kumar</t>
  </si>
  <si>
    <t>Slightly useful</t>
  </si>
  <si>
    <t xml:space="preserve">The session was bit confusing. </t>
  </si>
  <si>
    <t>No Response: Call Disconnected</t>
  </si>
  <si>
    <t>30-Mar-2026: For this only Mr. Sivesh was only suggested by Jigar. Mentor do not know much influencer led content.
26-Mar-2026: Not reachable</t>
  </si>
  <si>
    <t>Botminds.ai</t>
  </si>
  <si>
    <t>Mahesh Natrajan</t>
  </si>
  <si>
    <t>The feedback was very helpful and would like to meet the mentor in few months</t>
  </si>
  <si>
    <t>Qarmatek</t>
  </si>
  <si>
    <t>Abhay Jajoo</t>
  </si>
  <si>
    <t>Not useful</t>
  </si>
  <si>
    <t xml:space="preserve">Not at all useful </t>
  </si>
  <si>
    <t>21-Apr-2026: As were not able to reach out to Founder. We used NoteLM to get the meeting output. Added in Notes
31-Mar-2026: Founder asked to call after next week as he is busy in march  closing thing
17-mar-2026: Venture rejected the call
16-mar-2026: Venture rejected the call
13-Mar-2026: Wasn't reachbale
11-mar-2026: Venture asked to call tommorow</t>
  </si>
  <si>
    <t>Nirmallya Roy Chowdhury</t>
  </si>
  <si>
    <t>He was going to get back with a questionairre but he hasn't - so if you could speak with him and check out his interest ? i would be glad to speak with him again</t>
  </si>
  <si>
    <t>31-Mar-2026: Founder asked to call after next week as he is busy in march  closing thing
17-mar-2026: Venture rejected the call
16-mar-2026: Venture rejected the call
13-Mar-2026: Wasn't reachbale
11-mar-2026: Venture asked to call tommorow</t>
  </si>
  <si>
    <t>he was supposed to get back but he never did so won't be going forward with him</t>
  </si>
  <si>
    <t>Ashesh D Shah</t>
  </si>
  <si>
    <t xml:space="preserve">I have already signed up with Ashesh bhai for the next steps </t>
  </si>
  <si>
    <t>Agriown Farmtech</t>
  </si>
  <si>
    <t xml:space="preserve">The experience was very good and very helpful to us </t>
  </si>
  <si>
    <t>Myharvest Farms</t>
  </si>
  <si>
    <t>It was just an intro call and was good.</t>
  </si>
  <si>
    <t>Hogist technologies Pvt Ltd</t>
  </si>
  <si>
    <t>Was just Ok.</t>
  </si>
  <si>
    <t>Not suggested or connected by us. Was directly connected by HM
11-Mar-2026: Mentor was not aliginging with their problem and they want person from B2B</t>
  </si>
  <si>
    <t>Atreya Innovations</t>
  </si>
  <si>
    <t>Sriram Chadambaram</t>
  </si>
  <si>
    <t>Gyrodrive</t>
  </si>
  <si>
    <t>We had a discussion and signed the term sheet and asked to share the term sheet.</t>
  </si>
  <si>
    <t>Frontierz</t>
  </si>
  <si>
    <t>Sandeep Gupta</t>
  </si>
  <si>
    <t xml:space="preserve">Overall it was good session and was a guy good. </t>
  </si>
  <si>
    <t xml:space="preserve">Highly practical and insightful </t>
  </si>
  <si>
    <t>Manu kumar</t>
  </si>
  <si>
    <t>Foodnest</t>
  </si>
  <si>
    <t>Gave us lot of clarity and roadmap Looking forward for more sessions</t>
  </si>
  <si>
    <t>Padcare Labs</t>
  </si>
  <si>
    <t>Mohanakrishnan P</t>
  </si>
  <si>
    <t xml:space="preserve">It was a nice discussion with him and got a good insights. </t>
  </si>
  <si>
    <t xml:space="preserve">Anant has been through the journey of taking his product to the North American Market. His experience can be very valuable in planning out our GTM for this market. </t>
  </si>
  <si>
    <t>Umesh Uttamchandani</t>
  </si>
  <si>
    <t>Relatable, To the point and precise.</t>
  </si>
  <si>
    <t>Siddharth Pandey</t>
  </si>
  <si>
    <t>He is very relatable to the ICP and was forthcoming in offering connects.</t>
  </si>
  <si>
    <t>Tailor Smart</t>
  </si>
  <si>
    <t>Crispino Santamaria</t>
  </si>
  <si>
    <t>Was a good session</t>
  </si>
  <si>
    <t>Ashish Mittal</t>
  </si>
  <si>
    <t xml:space="preserve">Ashish helped in connecting with corporates </t>
  </si>
  <si>
    <t>PowerTree</t>
  </si>
  <si>
    <t>Satya kiran Gannarapu</t>
  </si>
  <si>
    <t>Exeperience was good.</t>
  </si>
  <si>
    <t>I have mentioned yes above. We are working on the steps given by him, and may want to get validated from someone else from the same field. Will be in touch to decide the next steps.  Thank you.</t>
  </si>
  <si>
    <t>Nayaz JU Launchpad</t>
  </si>
  <si>
    <t>The session was insightful and we appreciate the prespective</t>
  </si>
  <si>
    <t>Nuutjobs</t>
  </si>
  <si>
    <t>Gopal Kalra</t>
  </si>
  <si>
    <t>Need mentor to navigate Digital Marketing</t>
  </si>
  <si>
    <t>Dhobi G</t>
  </si>
  <si>
    <t>Krishna Dorai</t>
  </si>
  <si>
    <t>It was a great session.</t>
  </si>
  <si>
    <t>17-mar-2026: Marketing guy called and mentioned the session was great and mentor only asked questions and collected the data. Didn't want to connect again as the marketing understood the insights again and is working on them. Will confirm if another session required with him.
17-Mar-2026: Founder told his marketing team head will call us and give proper feedback. He also mentioned that as it was first session, wanted to get connected with him again
13-mar-2026: Not answering the calls
11-mar-2026: Not answering the calls</t>
  </si>
  <si>
    <t>The session was very useful and mentor and HM were helful for us.</t>
  </si>
  <si>
    <t>Jayen Kotecha</t>
  </si>
  <si>
    <t>The mentor was not up to the mark</t>
  </si>
  <si>
    <t>Mentor was good but the Founder already was well aware of the topic</t>
  </si>
  <si>
    <t xml:space="preserve">11-mar-2026: The mentor was not able to give new ideas for the session. More mentor connects to be done in marketing. Call was good. Mentor was also good.  
He himself has good experience in Vendor Quality side hence whatever was shared by Mentor, he was already aware
As per him, it was not the Wrong matching either
He realized, he need to focus on other area of business. </t>
  </si>
  <si>
    <t>Exposit Immersive Solution Pvt Ltd</t>
  </si>
  <si>
    <t>It was good session and was an experienced mentor.</t>
  </si>
  <si>
    <t>Kumaresh Tirukonda</t>
  </si>
  <si>
    <t>Follow up session with same mentor is required again.</t>
  </si>
  <si>
    <t>Kavya Dehulia</t>
  </si>
  <si>
    <t>11-Mar-2026: The mentor was confuesed and was a intro call. Don't need to connect with her. Also she didn't seemed to understand the venture as well.</t>
  </si>
  <si>
    <t>Raptee Energy Pvt Ltd</t>
  </si>
  <si>
    <t>Arnab Chatterjee</t>
  </si>
  <si>
    <t>He didn't spoke anything relevant and mentors is calling multiple times after the call which is not good</t>
  </si>
  <si>
    <t xml:space="preserve">16-mar-2026: Meeting went well. Only Gap there was the type of vehicles he was selling was not what founder is trying to build. He was probably was not fit.  He shared that there were some challenges with Arnab, but did not share what challenges.  Mentor was kind and nothing wrong. It was just about the Miss alignment. </t>
  </si>
  <si>
    <t>Raw Pharma</t>
  </si>
  <si>
    <t>Rupaal Singh</t>
  </si>
  <si>
    <t>Rupal is not fit mentor and was discussing about the topic and was very informal.</t>
  </si>
  <si>
    <t>11-Mar-2026: Mentor was good but we wern't able to identify next steps as he was from agritech and were are from F&amp;B category</t>
  </si>
  <si>
    <t>Rupiya Finnovations Pvt Ltd</t>
  </si>
  <si>
    <t>Srinivas Yanamandra</t>
  </si>
  <si>
    <t>16-Mar-2026: Mentor discussed quality aspects and was a genius guy, and want to connect with mentor again
He was also very very helpful . Suggested changes founder is implying also.</t>
  </si>
  <si>
    <t>Pradeep Malu</t>
  </si>
  <si>
    <t>Raptee Energy Pvt LTd</t>
  </si>
  <si>
    <t>Gokulraj GK</t>
  </si>
  <si>
    <t xml:space="preserve">He was perfect. Seemed to understand exactly what I needed. Thanks. </t>
  </si>
  <si>
    <t>Jeevtronics</t>
  </si>
  <si>
    <t>Dheeresh Manrai</t>
  </si>
  <si>
    <t xml:space="preserve">Practical, clear , implementation ready suggestions. Great words of wisdom! </t>
  </si>
  <si>
    <t>Pradeep Rathi</t>
  </si>
  <si>
    <t>No.</t>
  </si>
  <si>
    <t>11-Mar-2026: The mentor was confused and was a intro call. Don't need to connect with him</t>
  </si>
  <si>
    <t>Green Pods</t>
  </si>
  <si>
    <t>Arun Sharma</t>
  </si>
  <si>
    <t>11-Mar-2026: The suggestion were not reletable and also venture want to connect with new set of metors and convyed this to HM a month ago</t>
  </si>
  <si>
    <t>As the mentor has deeper understanding of the problem please get us connected again.</t>
  </si>
  <si>
    <t>31-Mar-2026: Venture not answering the call. Called thrice.</t>
  </si>
  <si>
    <t>Alpino</t>
  </si>
  <si>
    <t>Prashant Mandke</t>
  </si>
  <si>
    <t>31-Mar-2026: Called twice but venture isn't answering the calls
21-Mar-2026: Didn't answered the call
17-Mar-2026: Venture will call on saturday
17-mar-2026: Venture not answering the call
13-mar-2026: Venture rejected the call
11-mar-2026: Not answering the calls</t>
  </si>
  <si>
    <t>Culture x</t>
  </si>
  <si>
    <t>Vignesh Narayanan</t>
  </si>
  <si>
    <t>11-Mar-2026: It was an intro call i.e. why, they were not able to identify clear steps. Also HM shared mentor's number with venture and they connected over for further discussion.
Connected on 5th Dec
g</t>
  </si>
  <si>
    <t>FTB Organic (Dhombe Patil Foods)</t>
  </si>
  <si>
    <t>Raj Gulia</t>
  </si>
  <si>
    <t xml:space="preserve">Overall good session </t>
  </si>
  <si>
    <t>Mukul Bagga</t>
  </si>
  <si>
    <t>Given really good insight about the things.</t>
  </si>
  <si>
    <t>Duplicate</t>
  </si>
  <si>
    <t>16-Mar-2026: Mentor discussed quality aspects and was a genius guy, and want to connect with mentor again. He was also very very helpful . Suggested changes founder is implying also.</t>
  </si>
  <si>
    <t>Manu Kumar</t>
  </si>
  <si>
    <t>Overall it was good and helpful session and mentor was really helpful.</t>
  </si>
  <si>
    <t>Univia</t>
  </si>
  <si>
    <t>It was a wonderful experience discussing our challenges with him.</t>
  </si>
  <si>
    <t>The session was very helpful for our execution part.</t>
  </si>
  <si>
    <t xml:space="preserve">Very relevant persona </t>
  </si>
  <si>
    <t>11-MAR-2026: The venture mentioned moderately useful was mentioned by mistake</t>
  </si>
  <si>
    <t>Redicine Medsol</t>
  </si>
  <si>
    <t>Vaibhav Tewari</t>
  </si>
  <si>
    <t>The session was good and had vast experience. But was not aligned with our goals.</t>
  </si>
  <si>
    <t>16-mar-2026: Venture are looking someone more specific in B2B and venture like them who making revenue like us not who are at initial. Also venture raised a request to get connect with Kedar for more asks.</t>
  </si>
  <si>
    <t>The session was good and had vast experience and another session will same mentor will be required.</t>
  </si>
  <si>
    <t xml:space="preserve">16-Mar-2026: The session was good and had vast experience and another session will same mentor will be required. </t>
  </si>
  <si>
    <t>Mangopoint</t>
  </si>
  <si>
    <t>B Gopalakrishnan</t>
  </si>
  <si>
    <t xml:space="preserve">Very knowledegable </t>
  </si>
  <si>
    <t>13-Mar-2026: IT WAS FIRST INTRO ROUND AND THAT IS WHY MENTIONED PARTLY AND WANT TO CONNECT WITH MENTOR AGAIN</t>
  </si>
  <si>
    <t>LeanKloud</t>
  </si>
  <si>
    <t>We could not complete the call as we ran out of time.  Ashish understands this space well and we have agreed to speak again shortly</t>
  </si>
  <si>
    <t>31-Mar-2026: Called twice but venture is not answering the calls again
17-Mar-2026: venture not replying, but as per the remarks mentioned in the feedback, the session was good.
16-mar-2026: Venture not replying</t>
  </si>
  <si>
    <t>Eventbeep</t>
  </si>
  <si>
    <t xml:space="preserve">Sessions were very helpful and informative plus the mentor has been really helpful in referring us to more clients </t>
  </si>
  <si>
    <t>NG Earsafe</t>
  </si>
  <si>
    <t>Prem Sanjay Vuthandam</t>
  </si>
  <si>
    <t>The session was good and decent.</t>
  </si>
  <si>
    <t>Prime UAV</t>
  </si>
  <si>
    <t>He was given good vision and steps for develope a new team of our organisation. Thanks for support and guidance.</t>
  </si>
  <si>
    <t xml:space="preserve">They given some good vision for business development steps and that is helpful for our </t>
  </si>
  <si>
    <t>16-Mar-2026: The sessiion was an introductory one that's why it is Partly. Want to connect with some other mentor and conveyed it to HM.</t>
  </si>
  <si>
    <t>JidokaTechnologies</t>
  </si>
  <si>
    <t>Ramkumar Subramanian</t>
  </si>
  <si>
    <t>We have sent a set of follow up for connections in USA as the ask/action item. Awaiting feedback.</t>
  </si>
  <si>
    <t>31-Mar-2026: Mentor wasn't upto their expectation. Venture conveyed this to HM and still not a reply from HM. 
17-Mar-2026: venture not answering
16-mar-2026: Venture Rejected my call</t>
  </si>
  <si>
    <t xml:space="preserve">Gained very useful feedback in helping us simplify and sharpen our pitch deck and positioning of our company for investors. </t>
  </si>
  <si>
    <t>Pending Reply</t>
  </si>
  <si>
    <t xml:space="preserve">Gained very useful perspectives in validating our GTM plans. </t>
  </si>
  <si>
    <t>amPICQ</t>
  </si>
  <si>
    <t>Mohit Monga</t>
  </si>
  <si>
    <t xml:space="preserve">It was unclear as to what the mentor wanted in the end. He mentioned he would want to formalize the discussion the next time we had it. He was maybe suggesting that he would want to become a consultant of the company via a formal contract to interact again. </t>
  </si>
  <si>
    <t>17-Mar-2026: Mentor was not aligned with venture's technology 
 16-Mar-2026: Venture didn't received my call</t>
  </si>
  <si>
    <t>1-April-2026: Asked to call after sometime</t>
  </si>
  <si>
    <t>Stem Tech</t>
  </si>
  <si>
    <t>He seemed knowledgable and had domain expertise in sales. I enjoyed the interaction and learning about his background and journey in medical device space.   However, I did not get actionable insights for -  1. south asia market expansion and launching innovative medical device in these countries.</t>
  </si>
  <si>
    <t>16-Mar-2026: He has delt with infra related prodcuts and venture has products with someting different and they want someone more relatable to our feild i.e in consumables devices</t>
  </si>
  <si>
    <t>Startoon Labs</t>
  </si>
  <si>
    <t>Dheeraj</t>
  </si>
  <si>
    <t xml:space="preserve">I have out my asks out to Washwani, but have not yet received much help, though I am in touch with the wadhwani team and awaiting for the support. </t>
  </si>
  <si>
    <t xml:space="preserve">Not upto the mark. I have out my asks out to Washwani, but have not yet received much help, though I am in touch with the wadhwani team and awaiting for the support. </t>
  </si>
  <si>
    <t>17-Mar-2026: The venture prefers a mentor connection focused more on enabling relevant business connections rather than just general guidance. They are looking for introductions through the Wadhwani network (e.g., hospitals or healthcare chains) that can directly support business opportunities. As highlighted in feedback and calls, the current HM support has been limited, and the venture is seeking stronger, more relevant connects where we can add value.
16-mar-2026: Venture rejected the call</t>
  </si>
  <si>
    <t>Dr. Sudin Baraokar</t>
  </si>
  <si>
    <t>He was factual and accurate for us.</t>
  </si>
  <si>
    <t>The session was good and clear</t>
  </si>
  <si>
    <t>Urdhvam</t>
  </si>
  <si>
    <t xml:space="preserve">Mentor was perfect. </t>
  </si>
  <si>
    <t>Mentor told there is a workshop for Finannce and want to know more</t>
  </si>
  <si>
    <t>17-mar-2026: The session was good and the mentor shared useful insights. However, most of the points discussed are things the team is already working on, so there wasn’t anything significantly new. They said, they are implementing the suggestions shared and found the mentor helpful. If needed, they would like to reconnect with the mentor in the future.
13-Mar-2026: Called twice but mentor not answering</t>
  </si>
  <si>
    <t xml:space="preserve">Good start at least. </t>
  </si>
  <si>
    <t>Indian Drivers</t>
  </si>
  <si>
    <t xml:space="preserve">Overall good suggestions shared </t>
  </si>
  <si>
    <t xml:space="preserve">Cultyvate- Farms2Fork Technologies Pvt Ltd </t>
  </si>
  <si>
    <t>Kalmesh Joshi</t>
  </si>
  <si>
    <t>Good discussion and gave some good direction to optimise our infrastructure cost</t>
  </si>
  <si>
    <t>Rises.io</t>
  </si>
  <si>
    <t xml:space="preserve">The session with Mr Dheeresh Manrai of alliancehealthcare.net.in, we very useful. With their background in healthcare and sales aspect. We would like to see how we can implement his suggestions, especially the sales &amp; marketing aspect, the B2B and Govt related procurement.  We will be more than happy to talk again, in case of any further guidance or business opportunity.  </t>
  </si>
  <si>
    <t>Time limit to be increased to connect with mentor</t>
  </si>
  <si>
    <t>17- Mar-2026: The session was good and the mentor shared valuable insights. However, due to limited time and it being more of an introductory session, the discussion remained at a basic level. The mentor should be reconnected with the venture for a more in-depth session. The key points have already been conveyed to the HM as well.
17-Mar-2026: Asked to call again shortly
16-Mar-2026: Asked to call tomorrow</t>
  </si>
  <si>
    <t>Dr. Jagadeesh Gandla</t>
  </si>
  <si>
    <t xml:space="preserve">NOTHING SPECIFIC </t>
  </si>
  <si>
    <t>16-mar-2026: He is into R&amp;D and biotechnology which is not relatable for us.</t>
  </si>
  <si>
    <t>Linkmiles</t>
  </si>
  <si>
    <t>Vinay Goel</t>
  </si>
  <si>
    <t xml:space="preserve">Meeting was good. Mentor had clarity of mind and understanding of what we are doing. He gave good inputs and give new insights what we are trying to build in tech side. </t>
  </si>
  <si>
    <t xml:space="preserve">Whatever inputs were shared were not new for him. If mentors come prepared before the meeting so that not much time is spent in explaining about the startup much.  </t>
  </si>
  <si>
    <t>16-mar-2026: Wanted another round of discussion with him. And also Need Business Developement Head.</t>
  </si>
  <si>
    <t>He helped with financial planning strategies, and it was a very useful session</t>
  </si>
  <si>
    <t>His area of expertise was more low cost scooters and he couldn't understand what we were trying to do. I understand that his experience was in different areas and it wasn't a fit. Communicated in detail to the Wadhwani Team.</t>
  </si>
  <si>
    <t>11-mar-2026: Mentor was not spekaing much about the problem. Venture also mentioned that he has conveyed this to HM
Meeting was short. Mentor didn’t really talk much. Mentor was in Hurry. Then he was not reachable. Conversation was Awkward.</t>
  </si>
  <si>
    <t xml:space="preserve">Mr Sriram Chidambaram  of srfcapital.studio has great understanding of how startup works. Would like to get further guidance on possible investments and business growth </t>
  </si>
  <si>
    <t>Practical insights. Helped understand the bottlenecks.</t>
  </si>
  <si>
    <t>Velaan Mart Pvt Ltd</t>
  </si>
  <si>
    <t>Really good session and we were able to raise funds</t>
  </si>
  <si>
    <t>Mahesh Nataranjan</t>
  </si>
  <si>
    <t>31-mar-2026: Required more session with mentor but after april</t>
  </si>
  <si>
    <t>It was meaningful but I want to more about the valuation</t>
  </si>
  <si>
    <t>31-Mar-206: Time was concern. Limitited time was there for the session</t>
  </si>
  <si>
    <t xml:space="preserve">Insight of Digital marketing </t>
  </si>
  <si>
    <t>13-Apr-2026: The mentor was good, but they needed more support in digital marketing. Please suggest another mentor for this. Also, he’d like to connect with Kushagra Gupta for reviewing and auditing my Amazon account.</t>
  </si>
  <si>
    <t>20-Mar-2026: Will check if the mentor is able give them desired outcome as in if he will agree on the agenda then want another call</t>
  </si>
  <si>
    <t>Not impressed with him</t>
  </si>
  <si>
    <t>Filled by Mistake</t>
  </si>
  <si>
    <t>17-mar-2026: Venture filled by mistake and was impressed by mentor and is coordinating with the mentor directly for help over email.
16-Mar-2026: Venture rejected the call
11-Mar-2026: Asked to call tomorrow</t>
  </si>
  <si>
    <t>(Multiple Items)</t>
  </si>
  <si>
    <t>Row Labels</t>
  </si>
  <si>
    <t>Count of Venture Name</t>
  </si>
  <si>
    <t>Grand Total</t>
  </si>
  <si>
    <t>QUALITY METRICS</t>
  </si>
  <si>
    <t>Total Sessions Rated</t>
  </si>
  <si>
    <t>Average Rating</t>
  </si>
  <si>
    <t>Sessions Rated ≤ 3 (Negative)</t>
  </si>
  <si>
    <t>Sessions Rated 4-5 (Positive)</t>
  </si>
  <si>
    <t>% Positive Sessions</t>
  </si>
  <si>
    <t>Follow-Up Requests</t>
  </si>
  <si>
    <t>Flagged &amp; Unresolved</t>
  </si>
  <si>
    <t>MENTOR QUALITY FLAGS</t>
  </si>
  <si>
    <t>(Track mentors with 3+ negative ratings for reassignment review)</t>
  </si>
  <si>
    <t>Collector ID</t>
  </si>
  <si>
    <t>Start Date</t>
  </si>
  <si>
    <t>End Date</t>
  </si>
  <si>
    <t>IP Address</t>
  </si>
  <si>
    <t>Email Address</t>
  </si>
  <si>
    <t>First Name</t>
  </si>
  <si>
    <t>Last Name</t>
  </si>
  <si>
    <t>Custom Data 1</t>
  </si>
  <si>
    <t>Your Name</t>
  </si>
  <si>
    <t>Mentee Name</t>
  </si>
  <si>
    <t>1. Was the session agenda relevant to the startup’s current stage and specific needs?</t>
  </si>
  <si>
    <t>2. Did the session agenda help you prepare effectively for the discussion?</t>
  </si>
  <si>
    <t>3. Was the startup’s problem statement or request clearly articulated in the agenda?</t>
  </si>
  <si>
    <t>4. Do you have any suggestions to improve the quality or format of the agenda or recommendations?</t>
  </si>
  <si>
    <t>5. How prepared and organized was your mentee for the session?</t>
  </si>
  <si>
    <t>6. How engaged is your mentee during mentoring sessions, in terms of active participation and willingness to discuss challenges?</t>
  </si>
  <si>
    <t>7. Is there anything the venture (or platform) could have done better to make this session more effective?</t>
  </si>
  <si>
    <t>8. How would you like to rate the session?</t>
  </si>
  <si>
    <t>9. How relevant were the recommended action items to the discussion during your session?</t>
  </si>
  <si>
    <t>10. Were the suggested resources and tools aligned with the session topic and helpful for your next steps?</t>
  </si>
  <si>
    <t>11. Is there any additional critical information you believe should be included in the post-session recommendations?</t>
  </si>
  <si>
    <t>RN Remarks</t>
  </si>
  <si>
    <t>Category</t>
  </si>
  <si>
    <t>Response Status</t>
  </si>
  <si>
    <t>Start of Week</t>
  </si>
  <si>
    <t>Trunc</t>
  </si>
  <si>
    <t>114.143.38.219</t>
  </si>
  <si>
    <t>Keepsake Automation</t>
  </si>
  <si>
    <t>Moderately Relevant</t>
  </si>
  <si>
    <t>Slightly helpful</t>
  </si>
  <si>
    <t>Not at all articulated</t>
  </si>
  <si>
    <t>Agenda has to be articulated.</t>
  </si>
  <si>
    <t>Highly prepared</t>
  </si>
  <si>
    <t>Highly Engaged</t>
  </si>
  <si>
    <t>Set the Agenda.</t>
  </si>
  <si>
    <t>Neutral</t>
  </si>
  <si>
    <t>Moderately aligned</t>
  </si>
  <si>
    <t>42.105.172.191</t>
  </si>
  <si>
    <t>Ankit Majmudar</t>
  </si>
  <si>
    <t>Delzad Khambata</t>
  </si>
  <si>
    <t>Extremely Relevant</t>
  </si>
  <si>
    <t>Extremely helpful</t>
  </si>
  <si>
    <t>Clearly articulated</t>
  </si>
  <si>
    <t>All was good</t>
  </si>
  <si>
    <t>183.83.219.29</t>
  </si>
  <si>
    <t xml:space="preserve">Hitesh </t>
  </si>
  <si>
    <t>Moderately helpful</t>
  </si>
  <si>
    <t>Moderately articulated</t>
  </si>
  <si>
    <t>Moderately prepared</t>
  </si>
  <si>
    <t>Somewhat Engaged</t>
  </si>
  <si>
    <t>122.172.82.128</t>
  </si>
  <si>
    <t>Tikitaro</t>
  </si>
  <si>
    <t>Prasanna Vasanadu</t>
  </si>
  <si>
    <t>Exceptionally well-defined</t>
  </si>
  <si>
    <t>NIL</t>
  </si>
  <si>
    <t>Extremely prepared</t>
  </si>
  <si>
    <t>Extremely Engaged</t>
  </si>
  <si>
    <t>Very satisfied</t>
  </si>
  <si>
    <t>Extremely aligned</t>
  </si>
  <si>
    <t>106.219.225.66</t>
  </si>
  <si>
    <t>Nagaprasanna</t>
  </si>
  <si>
    <t>Very Relevant</t>
  </si>
  <si>
    <t>49.36.221.62</t>
  </si>
  <si>
    <t>Nagaprasanna Vasanadu</t>
  </si>
  <si>
    <t>None as of now, good initiative, keep rocking !!!</t>
  </si>
  <si>
    <t>none as of now, stick to the current format, its working fine !!</t>
  </si>
  <si>
    <t>None as of now</t>
  </si>
  <si>
    <t>223.231.165.162</t>
  </si>
  <si>
    <t>Nothing as of now</t>
  </si>
  <si>
    <t>Nothing specific</t>
  </si>
  <si>
    <t>106.202.63.28</t>
  </si>
  <si>
    <t>Divyajit</t>
  </si>
  <si>
    <t>Highly Relevant</t>
  </si>
  <si>
    <t xml:space="preserve">After introductory session i believe it should now in execution type and action oriented. </t>
  </si>
  <si>
    <t xml:space="preserve">Share more detail problems which understand not possible in one session </t>
  </si>
  <si>
    <t>we should be clear what next action we be taking to improve the need of venture and how to go about with team work</t>
  </si>
  <si>
    <t>171.76.80.255</t>
  </si>
  <si>
    <t>Forgot</t>
  </si>
  <si>
    <t>Very helpful</t>
  </si>
  <si>
    <t xml:space="preserve">I guess it was ok, and not much is required. </t>
  </si>
  <si>
    <t>It is not a one-time thing; mentorship requires more time than just a session. You should work more on it. Assigning mentees for longer periods with a mentor</t>
  </si>
  <si>
    <t>Satisfied</t>
  </si>
  <si>
    <t>Very aligned</t>
  </si>
  <si>
    <t>The mentee was looking more on the side of fundrasing than strategic support. He was a bit confused with GTM but mainly fundraising. It should be clear what the acceptance of mentee is, before entering the call.</t>
  </si>
  <si>
    <t>122.166.190.164</t>
  </si>
  <si>
    <t>Chirag Gupta &amp; Bharat Tiberwel</t>
  </si>
  <si>
    <t>All good</t>
  </si>
  <si>
    <t>N/A</t>
  </si>
  <si>
    <t>1.7.46.162</t>
  </si>
  <si>
    <t>Chirag Gupta &amp; Bharat Tiberwal</t>
  </si>
  <si>
    <t>So far good!</t>
  </si>
  <si>
    <t>All good!</t>
  </si>
  <si>
    <t>Jignesh Jain</t>
  </si>
  <si>
    <t>JustAct</t>
  </si>
  <si>
    <t>Rahul</t>
  </si>
  <si>
    <t>Ask EVA</t>
  </si>
  <si>
    <t>Mohammad eshan</t>
  </si>
  <si>
    <t>Sudhir</t>
  </si>
  <si>
    <t>Krunal Shah</t>
  </si>
  <si>
    <t>Reagri</t>
  </si>
  <si>
    <t>Servercake</t>
  </si>
  <si>
    <t>Amith Kumar Kalimuthu</t>
  </si>
  <si>
    <t>Tarun</t>
  </si>
  <si>
    <t>Dhaval shah</t>
  </si>
  <si>
    <t xml:space="preserve">Hreedan Lifestyle </t>
  </si>
  <si>
    <t>Rekharani bhanudas mane</t>
  </si>
  <si>
    <t>Sagar</t>
  </si>
  <si>
    <t>Not Relevant</t>
  </si>
  <si>
    <t>Not at all helpful</t>
  </si>
  <si>
    <t>Mahesh Natranjan</t>
  </si>
  <si>
    <t>Pankaj</t>
  </si>
  <si>
    <t>Roshan Rawal</t>
  </si>
  <si>
    <t>Sanjeev Iyer</t>
  </si>
  <si>
    <t>.</t>
  </si>
  <si>
    <t>Daksh Sabharwal</t>
  </si>
  <si>
    <t>Dinesh Arjun</t>
  </si>
  <si>
    <t>Feedback from Founders</t>
  </si>
  <si>
    <t>#</t>
  </si>
  <si>
    <t>Mentor Workbench NPS</t>
  </si>
  <si>
    <t>Slightly Relevant</t>
  </si>
  <si>
    <t>SUM</t>
  </si>
  <si>
    <t>Promoter</t>
  </si>
  <si>
    <t>Passive</t>
  </si>
  <si>
    <t>Detractor</t>
  </si>
  <si>
    <t>NPS</t>
  </si>
  <si>
    <t>The session was good and wanted to connect with him again.</t>
  </si>
  <si>
    <t>Mentor not Satisfied</t>
  </si>
  <si>
    <t xml:space="preserve">22-Apr-2026: The services or fees mentioned by Garima are strictly related to legal documentation and other legal matters. The fee has been charged solely for these services, and not for anything else. We also checked the session's transcript and recording, and found that venture got the proper mentoring what was supposed to be given.
</t>
  </si>
  <si>
    <t>Accelerate Core</t>
  </si>
  <si>
    <t>Ahmedabad</t>
  </si>
  <si>
    <t>Chennai</t>
  </si>
  <si>
    <t>Pune</t>
  </si>
  <si>
    <t>Accelerate Select</t>
  </si>
  <si>
    <t>Accelerate Prime</t>
  </si>
  <si>
    <t>Pune
Ahmedabad</t>
  </si>
  <si>
    <t>Surat</t>
  </si>
  <si>
    <t xml:space="preserve">Ahmedabad </t>
  </si>
  <si>
    <t>Hyderabad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</si>
</sst>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yyyy\-mm\-dd\ hh:mm:ss"/>
  </numFmts>
  <fonts count="19" x14ac:knownFonts="1">
    <font>
      <sz val="11"/>
      <color theme="1"/>
      <name val="Calibri"/>
      <family val="2"/>
      <charset val="1"/>
    </font>
    <font>
      <sz val="11"/>
      <color theme="1"/>
      <name val="Calibri"/>
      <family val="2"/>
      <scheme val="minor"/>
    </font>
    <font>
      <b/>
      <sz val="11"/>
      <color rgb="FFFFFFFF"/>
      <name val="Calibri"/>
      <family val="2"/>
    </font>
    <font>
      <b/>
      <sz val="10"/>
      <color rgb="FF4A3F36"/>
      <name val="Calibri"/>
      <family val="2"/>
    </font>
    <font>
      <sz val="10"/>
      <color rgb="FF4A3F36"/>
      <name val="Calibri"/>
      <family val="2"/>
    </font>
    <font>
      <b/>
      <sz val="11"/>
      <color theme="0"/>
      <name val="Calibri"/>
      <family val="2"/>
    </font>
    <font>
      <sz val="11"/>
      <name val="Aptos"/>
      <family val="2"/>
    </font>
    <font>
      <sz val="11"/>
      <color theme="1"/>
      <name val="Calibri"/>
      <family val="2"/>
      <charset val="1"/>
    </font>
    <font>
      <b/>
      <sz val="11"/>
      <color theme="1"/>
      <name val="Calibri"/>
      <family val="2"/>
      <scheme val="minor"/>
    </font>
    <font>
      <b/>
      <sz val="11"/>
      <color theme="0"/>
      <name val="Cambria"/>
      <family val="2"/>
      <scheme val="major"/>
    </font>
    <font>
      <sz val="11"/>
      <name val="Calibri"/>
      <family val="2"/>
      <scheme val="minor"/>
    </font>
    <font>
      <sz val="11"/>
      <color theme="1"/>
      <name val="Cambria"/>
      <family val="2"/>
      <scheme val="major"/>
    </font>
    <font>
      <sz val="11"/>
      <color rgb="FF000000"/>
      <name val="Cambria"/>
      <family val="2"/>
      <scheme val="major"/>
    </font>
    <font>
      <sz val="11"/>
      <name val="Cambria"/>
      <family val="2"/>
      <scheme val="major"/>
    </font>
    <font>
      <sz val="11"/>
      <color rgb="FF000000"/>
      <name val="Aptos Narrow"/>
      <family val="2"/>
    </font>
    <font>
      <b/>
      <sz val="11"/>
      <color theme="1"/>
      <name val="Calibri"/>
      <family val="2"/>
    </font>
    <font>
      <b/>
      <sz val="11"/>
      <color theme="1"/>
      <name val="Calibri"/>
      <family val="2"/>
      <charset val="1"/>
    </font>
    <font>
      <b/>
      <sz val="11"/>
      <color rgb="FFFFFFFF"/>
      <name val="Calibri"/>
      <family val="2"/>
      <charset val="1"/>
    </font>
    <font>
      <b/>
      <sz val="11"/>
      <color theme="0"/>
      <name val="Calibri"/>
      <family val="2"/>
      <charset val="1"/>
    </font>
  </fonts>
  <fills count="4">
    <fill>
      <patternFill patternType="none"/>
    </fill>
    <fill>
      <patternFill patternType="gray125"/>
    </fill>
    <fill>
      <patternFill patternType="solid">
        <fgColor rgb="FF7B1818"/>
        <bgColor rgb="FF800000"/>
      </patternFill>
    </fill>
    <fill>
      <patternFill patternType="solid">
        <fgColor theme="0"/>
        <bgColor indexed="64"/>
      </patternFill>
    </fill>
  </fills>
  <borders count="29">
    <border>
      <left/>
      <right/>
      <top/>
      <bottom/>
      <diagonal/>
    </border>
    <border>
      <left style="thin">
        <color rgb="FFD8D2CC"/>
      </left>
      <right style="thin">
        <color rgb="FFD8D2CC"/>
      </right>
      <top style="thin">
        <color rgb="FFD8D2CC"/>
      </top>
      <bottom style="thin">
        <color rgb="FFD8D2CC"/>
      </bottom>
      <diagonal/>
    </border>
    <border>
      <left style="thin">
        <color rgb="FFD8D2CC"/>
      </left>
      <right style="thin">
        <color rgb="FFD8D2CC"/>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theme="4"/>
      </bottom>
      <diagonal/>
    </border>
    <border>
      <left style="thin">
        <color rgb="FF000000"/>
      </left>
      <right style="thin">
        <color rgb="FF000000"/>
      </right>
      <top/>
      <bottom style="thin">
        <color rgb="FF000000"/>
      </bottom>
      <diagonal/>
    </border>
    <border>
      <left style="thin">
        <color theme="6"/>
      </left>
      <right/>
      <top style="thin">
        <color theme="6"/>
      </top>
      <bottom style="thin">
        <color theme="6"/>
      </bottom>
      <diagonal/>
    </border>
    <border>
      <left style="thin">
        <color rgb="FF000000"/>
      </left>
      <right style="thin">
        <color rgb="FF000000"/>
      </right>
      <top style="thin">
        <color theme="4"/>
      </top>
      <bottom/>
      <diagonal/>
    </border>
    <border>
      <left style="thin">
        <color rgb="FF000000"/>
      </left>
      <right style="thin">
        <color rgb="FF000000"/>
      </right>
      <top style="thin">
        <color rgb="FF000000"/>
      </top>
      <bottom/>
      <diagonal/>
    </border>
    <border>
      <left/>
      <right style="thin">
        <color rgb="FF000000"/>
      </right>
      <top style="thin">
        <color theme="4"/>
      </top>
      <bottom style="thin">
        <color rgb="FF000000"/>
      </bottom>
      <diagonal/>
    </border>
    <border>
      <left style="thin">
        <color rgb="FF000000"/>
      </left>
      <right style="thin">
        <color rgb="FF000000"/>
      </right>
      <top style="thin">
        <color theme="4"/>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theme="4"/>
      </top>
      <bottom style="thin">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D8D2CC"/>
      </left>
      <right style="thin">
        <color rgb="FFD8D2CC"/>
      </right>
      <top/>
      <bottom style="thin">
        <color rgb="FFD8D2CC"/>
      </bottom>
      <diagonal/>
    </border>
    <border>
      <left style="thin">
        <color rgb="FFD8D2CC"/>
      </left>
      <right style="thin">
        <color rgb="FFD8D2CC"/>
      </right>
      <top style="thin">
        <color rgb="FFD8D2CC"/>
      </top>
      <bottom/>
      <diagonal/>
    </border>
    <border>
      <left style="thin">
        <color theme="5"/>
      </left>
      <right/>
      <top style="thin">
        <color theme="5"/>
      </top>
      <bottom/>
      <diagonal/>
    </border>
    <border>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s>
  <cellStyleXfs count="3">
    <xf numFmtId="0" fontId="0" fillId="0" borderId="0"/>
    <xf numFmtId="9" fontId="7" fillId="0" borderId="0" applyFont="0" applyFill="0" applyBorder="0" applyAlignment="0" applyProtection="0"/>
    <xf numFmtId="0" fontId="1" fillId="0" borderId="0"/>
  </cellStyleXfs>
  <cellXfs count="109">
    <xf numFmtId="0" fontId="0" fillId="0" borderId="0" xfId="0"/>
    <xf numFmtId="0" fontId="3" fillId="0" borderId="1" xfId="0" applyFont="1" applyBorder="1"/>
    <xf numFmtId="0" fontId="0" fillId="0" borderId="1" xfId="0" applyBorder="1"/>
    <xf numFmtId="0" fontId="4" fillId="0" borderId="1" xfId="0" applyFont="1" applyBorder="1"/>
    <xf numFmtId="164" fontId="0" fillId="0" borderId="0" xfId="0" applyNumberFormat="1"/>
    <xf numFmtId="0" fontId="0" fillId="0" borderId="0" xfId="0" applyAlignment="1">
      <alignment horizontal="center"/>
    </xf>
    <xf numFmtId="1" fontId="0" fillId="0" borderId="0" xfId="0" applyNumberFormat="1" applyAlignment="1">
      <alignment horizontal="center"/>
    </xf>
    <xf numFmtId="0" fontId="0" fillId="0" borderId="0" xfId="0" applyAlignment="1">
      <alignment wrapText="1"/>
    </xf>
    <xf numFmtId="1" fontId="0" fillId="0" borderId="0" xfId="0" applyNumberFormat="1"/>
    <xf numFmtId="1" fontId="2" fillId="2" borderId="2" xfId="0" applyNumberFormat="1" applyFont="1" applyFill="1" applyBorder="1" applyAlignment="1">
      <alignment horizontal="left" vertical="center" wrapText="1"/>
    </xf>
    <xf numFmtId="0" fontId="2" fillId="2" borderId="2" xfId="0" applyFont="1" applyFill="1" applyBorder="1" applyAlignment="1">
      <alignment horizontal="left" vertical="center" wrapText="1"/>
    </xf>
    <xf numFmtId="0" fontId="5" fillId="2" borderId="2"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0" fillId="0" borderId="0" xfId="0" applyAlignment="1">
      <alignment horizontal="left" wrapText="1"/>
    </xf>
    <xf numFmtId="0" fontId="0" fillId="0" borderId="0" xfId="0" applyAlignment="1">
      <alignment horizontal="left"/>
    </xf>
    <xf numFmtId="0" fontId="6" fillId="0" borderId="0" xfId="0" applyFont="1" applyAlignment="1">
      <alignment horizontal="left" wrapText="1"/>
    </xf>
    <xf numFmtId="0" fontId="0" fillId="0" borderId="0" xfId="0" applyAlignment="1">
      <alignment horizontal="center" wrapText="1"/>
    </xf>
    <xf numFmtId="0" fontId="9" fillId="0" borderId="0" xfId="2" applyFont="1" applyAlignment="1">
      <alignment horizontal="center" vertical="center" wrapText="1"/>
    </xf>
    <xf numFmtId="0" fontId="9" fillId="0" borderId="0" xfId="2" applyFont="1" applyAlignment="1">
      <alignment horizontal="center" vertical="center"/>
    </xf>
    <xf numFmtId="1" fontId="1" fillId="0" borderId="3" xfId="2" applyNumberFormat="1" applyBorder="1" applyAlignment="1">
      <alignment horizontal="center" vertical="center" wrapText="1"/>
    </xf>
    <xf numFmtId="0" fontId="1" fillId="0" borderId="3" xfId="2" applyBorder="1" applyAlignment="1">
      <alignment horizontal="center" vertical="center" wrapText="1"/>
    </xf>
    <xf numFmtId="164" fontId="1" fillId="0" borderId="3" xfId="2" applyNumberFormat="1" applyBorder="1" applyAlignment="1">
      <alignment horizontal="center" vertical="center" wrapText="1"/>
    </xf>
    <xf numFmtId="165" fontId="1" fillId="0" borderId="3" xfId="2" applyNumberFormat="1" applyBorder="1" applyAlignment="1">
      <alignment horizontal="center" vertical="center" wrapText="1"/>
    </xf>
    <xf numFmtId="0" fontId="1" fillId="0" borderId="4" xfId="2" applyBorder="1" applyAlignment="1">
      <alignment horizontal="left" vertical="center"/>
    </xf>
    <xf numFmtId="0" fontId="10" fillId="0" borderId="3" xfId="2" applyFont="1" applyBorder="1" applyAlignment="1">
      <alignment horizontal="center" vertical="center"/>
    </xf>
    <xf numFmtId="164" fontId="10" fillId="0" borderId="3" xfId="2" applyNumberFormat="1" applyFont="1" applyBorder="1" applyAlignment="1">
      <alignment horizontal="center" vertical="center"/>
    </xf>
    <xf numFmtId="0" fontId="11" fillId="0" borderId="3" xfId="2" applyFont="1" applyBorder="1" applyAlignment="1">
      <alignment horizontal="center" vertical="center" wrapText="1"/>
    </xf>
    <xf numFmtId="1" fontId="1" fillId="0" borderId="5" xfId="2" applyNumberFormat="1" applyBorder="1" applyAlignment="1">
      <alignment horizontal="center" vertical="center"/>
    </xf>
    <xf numFmtId="0" fontId="1" fillId="0" borderId="5" xfId="2" applyBorder="1" applyAlignment="1">
      <alignment horizontal="center" vertical="center"/>
    </xf>
    <xf numFmtId="164" fontId="1" fillId="0" borderId="5" xfId="2" applyNumberFormat="1" applyBorder="1" applyAlignment="1">
      <alignment horizontal="center" vertical="center"/>
    </xf>
    <xf numFmtId="165" fontId="1" fillId="0" borderId="5" xfId="2" applyNumberFormat="1" applyBorder="1" applyAlignment="1">
      <alignment horizontal="center" vertical="center"/>
    </xf>
    <xf numFmtId="0" fontId="12" fillId="0" borderId="5" xfId="2" applyFont="1" applyBorder="1" applyAlignment="1">
      <alignment vertical="top" wrapText="1"/>
    </xf>
    <xf numFmtId="0" fontId="10" fillId="0" borderId="5" xfId="2" applyFont="1" applyBorder="1" applyAlignment="1">
      <alignment horizontal="center" vertical="center" wrapText="1"/>
    </xf>
    <xf numFmtId="164" fontId="10" fillId="0" borderId="5" xfId="2" applyNumberFormat="1" applyFont="1" applyBorder="1" applyAlignment="1">
      <alignment horizontal="center" vertical="center" wrapText="1"/>
    </xf>
    <xf numFmtId="1" fontId="1" fillId="0" borderId="3" xfId="2" applyNumberFormat="1" applyBorder="1" applyAlignment="1">
      <alignment horizontal="center" vertical="center"/>
    </xf>
    <xf numFmtId="0" fontId="1" fillId="0" borderId="3" xfId="2" applyBorder="1" applyAlignment="1">
      <alignment horizontal="center" vertical="center"/>
    </xf>
    <xf numFmtId="164" fontId="1" fillId="0" borderId="3" xfId="2" applyNumberFormat="1" applyBorder="1" applyAlignment="1">
      <alignment horizontal="center" vertical="center"/>
    </xf>
    <xf numFmtId="165" fontId="1" fillId="0" borderId="3" xfId="2" applyNumberFormat="1" applyBorder="1" applyAlignment="1">
      <alignment horizontal="center" vertical="center"/>
    </xf>
    <xf numFmtId="0" fontId="10" fillId="0" borderId="3" xfId="2" applyFont="1" applyBorder="1" applyAlignment="1">
      <alignment horizontal="center" vertical="center" wrapText="1"/>
    </xf>
    <xf numFmtId="164" fontId="10" fillId="0" borderId="3" xfId="2" applyNumberFormat="1" applyFont="1" applyBorder="1" applyAlignment="1">
      <alignment horizontal="center" vertical="center" wrapText="1"/>
    </xf>
    <xf numFmtId="1" fontId="13" fillId="0" borderId="3" xfId="2" applyNumberFormat="1" applyFont="1" applyBorder="1" applyAlignment="1">
      <alignment horizontal="center" vertical="center" wrapText="1"/>
    </xf>
    <xf numFmtId="0" fontId="13" fillId="0" borderId="3" xfId="2" applyFont="1" applyBorder="1" applyAlignment="1">
      <alignment horizontal="center" vertical="center" wrapText="1"/>
    </xf>
    <xf numFmtId="164" fontId="13" fillId="0" borderId="3" xfId="2" applyNumberFormat="1" applyFont="1" applyBorder="1" applyAlignment="1">
      <alignment horizontal="center" vertical="center" wrapText="1"/>
    </xf>
    <xf numFmtId="165" fontId="13" fillId="0" borderId="3" xfId="2" applyNumberFormat="1" applyFont="1" applyBorder="1" applyAlignment="1">
      <alignment horizontal="center" vertical="center" wrapText="1"/>
    </xf>
    <xf numFmtId="0" fontId="12" fillId="0" borderId="3" xfId="2" applyFont="1" applyBorder="1" applyAlignment="1">
      <alignment vertical="top" wrapText="1"/>
    </xf>
    <xf numFmtId="0" fontId="11" fillId="0" borderId="0" xfId="2" applyFont="1" applyAlignment="1">
      <alignment horizontal="center" vertical="center" wrapText="1"/>
    </xf>
    <xf numFmtId="0" fontId="13" fillId="0" borderId="3" xfId="2" applyFont="1" applyBorder="1" applyAlignment="1">
      <alignment horizontal="center" vertical="center" readingOrder="1"/>
    </xf>
    <xf numFmtId="0" fontId="13" fillId="0" borderId="3" xfId="2" applyFont="1" applyBorder="1" applyAlignment="1">
      <alignment horizontal="center" vertical="center"/>
    </xf>
    <xf numFmtId="0" fontId="1" fillId="0" borderId="0" xfId="2"/>
    <xf numFmtId="0" fontId="11" fillId="3" borderId="3" xfId="2" applyFont="1" applyFill="1" applyBorder="1" applyAlignment="1">
      <alignment horizontal="center" vertical="center"/>
    </xf>
    <xf numFmtId="0" fontId="11" fillId="0" borderId="3" xfId="2" applyFont="1" applyBorder="1" applyAlignment="1">
      <alignment horizontal="center" vertical="center"/>
    </xf>
    <xf numFmtId="0" fontId="13" fillId="0" borderId="3" xfId="2" applyFont="1" applyBorder="1" applyAlignment="1">
      <alignment horizontal="center" vertical="center" wrapText="1" readingOrder="1"/>
    </xf>
    <xf numFmtId="0" fontId="1" fillId="0" borderId="6" xfId="2" applyBorder="1" applyAlignment="1">
      <alignment horizontal="center" vertical="center"/>
    </xf>
    <xf numFmtId="0" fontId="14" fillId="0" borderId="7" xfId="2" applyFont="1" applyBorder="1" applyAlignment="1">
      <alignment horizontal="center" vertical="center" wrapText="1"/>
    </xf>
    <xf numFmtId="0" fontId="1" fillId="0" borderId="8" xfId="2" applyBorder="1" applyAlignment="1">
      <alignment horizontal="center" vertical="center"/>
    </xf>
    <xf numFmtId="0" fontId="1" fillId="0" borderId="9" xfId="2" applyBorder="1" applyAlignment="1">
      <alignment horizontal="center" vertical="center"/>
    </xf>
    <xf numFmtId="0" fontId="1" fillId="0" borderId="10" xfId="2" applyBorder="1" applyAlignment="1">
      <alignment horizontal="center" vertical="center"/>
    </xf>
    <xf numFmtId="0" fontId="1" fillId="0" borderId="11" xfId="2" applyBorder="1" applyAlignment="1">
      <alignment horizontal="center" vertical="center"/>
    </xf>
    <xf numFmtId="0" fontId="1" fillId="0" borderId="12" xfId="2" applyBorder="1" applyAlignment="1">
      <alignment horizontal="center" vertical="center"/>
    </xf>
    <xf numFmtId="0" fontId="8" fillId="0" borderId="10" xfId="2" applyFont="1" applyBorder="1" applyAlignment="1">
      <alignment horizontal="center" vertical="center"/>
    </xf>
    <xf numFmtId="0" fontId="1" fillId="0" borderId="4" xfId="2" applyBorder="1" applyAlignment="1">
      <alignment horizontal="center" vertical="center"/>
    </xf>
    <xf numFmtId="0" fontId="1" fillId="0" borderId="12" xfId="2" applyBorder="1" applyAlignment="1">
      <alignment horizontal="center" vertical="center" wrapText="1"/>
    </xf>
    <xf numFmtId="0" fontId="10" fillId="0" borderId="8" xfId="2" applyFont="1" applyBorder="1" applyAlignment="1">
      <alignment horizontal="center" vertical="center"/>
    </xf>
    <xf numFmtId="164" fontId="10" fillId="0" borderId="8" xfId="2" applyNumberFormat="1" applyFont="1" applyBorder="1" applyAlignment="1">
      <alignment horizontal="center" vertical="center"/>
    </xf>
    <xf numFmtId="0" fontId="10" fillId="0" borderId="0" xfId="2" applyFont="1"/>
    <xf numFmtId="9" fontId="0" fillId="0" borderId="0" xfId="1" applyFont="1"/>
    <xf numFmtId="9" fontId="0" fillId="0" borderId="0" xfId="0" applyNumberFormat="1"/>
    <xf numFmtId="0" fontId="0" fillId="0" borderId="14" xfId="0" applyBorder="1"/>
    <xf numFmtId="0" fontId="0" fillId="0" borderId="15" xfId="0" applyBorder="1"/>
    <xf numFmtId="0" fontId="0" fillId="0" borderId="16" xfId="0" applyBorder="1"/>
    <xf numFmtId="0" fontId="15" fillId="0" borderId="17" xfId="0" applyFont="1" applyBorder="1"/>
    <xf numFmtId="0" fontId="15" fillId="0" borderId="18" xfId="0" applyFont="1" applyBorder="1"/>
    <xf numFmtId="0" fontId="15" fillId="0" borderId="13" xfId="0" applyFont="1" applyBorder="1"/>
    <xf numFmtId="0" fontId="15" fillId="0" borderId="19" xfId="0" applyFont="1" applyBorder="1"/>
    <xf numFmtId="0" fontId="15" fillId="0" borderId="20" xfId="0" applyFont="1" applyBorder="1" applyAlignment="1">
      <alignment horizontal="right"/>
    </xf>
    <xf numFmtId="0" fontId="0" fillId="0" borderId="18" xfId="0" applyBorder="1"/>
    <xf numFmtId="0" fontId="15" fillId="0" borderId="15" xfId="0" applyFont="1" applyBorder="1"/>
    <xf numFmtId="1" fontId="0" fillId="0" borderId="20" xfId="1" applyNumberFormat="1" applyFont="1" applyBorder="1"/>
    <xf numFmtId="0" fontId="0" fillId="0" borderId="0" xfId="0" applyAlignment="1">
      <alignment vertical="top" wrapText="1"/>
    </xf>
    <xf numFmtId="0" fontId="6" fillId="0" borderId="0" xfId="0" applyFont="1" applyAlignment="1">
      <alignment wrapText="1"/>
    </xf>
    <xf numFmtId="0" fontId="2" fillId="2" borderId="21" xfId="0" applyFont="1" applyFill="1" applyBorder="1" applyAlignment="1">
      <alignment horizontal="center" vertical="center" wrapText="1"/>
    </xf>
    <xf numFmtId="164" fontId="0" fillId="0" borderId="0" xfId="0" applyNumberFormat="1" applyAlignment="1">
      <alignment horizontal="center"/>
    </xf>
    <xf numFmtId="0" fontId="0" fillId="0" borderId="0" xfId="0" pivotButton="1"/>
    <xf numFmtId="14" fontId="0" fillId="0" borderId="0" xfId="0" applyNumberFormat="1" applyAlignment="1">
      <alignment horizontal="left"/>
    </xf>
    <xf numFmtId="0" fontId="16" fillId="0" borderId="0" xfId="0" applyFont="1"/>
    <xf numFmtId="1" fontId="17" fillId="2" borderId="22" xfId="0" applyNumberFormat="1" applyFont="1" applyFill="1" applyBorder="1" applyAlignment="1">
      <alignment horizontal="left" vertical="center" wrapText="1"/>
    </xf>
    <xf numFmtId="0" fontId="17" fillId="2" borderId="22" xfId="0" applyFont="1" applyFill="1" applyBorder="1" applyAlignment="1">
      <alignment horizontal="left" vertical="center" wrapText="1"/>
    </xf>
    <xf numFmtId="0" fontId="17" fillId="2" borderId="22" xfId="0" applyFont="1" applyFill="1" applyBorder="1" applyAlignment="1">
      <alignment horizontal="center" vertical="center" wrapText="1"/>
    </xf>
    <xf numFmtId="0" fontId="18" fillId="2" borderId="22"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0" fillId="0" borderId="24" xfId="0" applyBorder="1"/>
    <xf numFmtId="1" fontId="0" fillId="0" borderId="24" xfId="0" applyNumberFormat="1" applyBorder="1" applyAlignment="1">
      <alignment horizontal="center"/>
    </xf>
    <xf numFmtId="0" fontId="0" fillId="0" borderId="24" xfId="0" applyBorder="1" applyAlignment="1">
      <alignment horizontal="center"/>
    </xf>
    <xf numFmtId="0" fontId="0" fillId="0" borderId="24" xfId="0" applyBorder="1" applyAlignment="1">
      <alignment wrapText="1"/>
    </xf>
    <xf numFmtId="164" fontId="0" fillId="0" borderId="27" xfId="0" applyNumberFormat="1" applyBorder="1" applyAlignment="1">
      <alignment horizontal="center"/>
    </xf>
    <xf numFmtId="0" fontId="0" fillId="0" borderId="26" xfId="0" applyBorder="1"/>
    <xf numFmtId="1" fontId="0" fillId="0" borderId="26" xfId="0" applyNumberFormat="1" applyBorder="1" applyAlignment="1">
      <alignment horizontal="center"/>
    </xf>
    <xf numFmtId="0" fontId="0" fillId="0" borderId="26" xfId="0" applyBorder="1" applyAlignment="1">
      <alignment horizontal="center"/>
    </xf>
    <xf numFmtId="0" fontId="0" fillId="0" borderId="26" xfId="0" applyBorder="1" applyAlignment="1">
      <alignment wrapText="1"/>
    </xf>
    <xf numFmtId="164" fontId="0" fillId="0" borderId="28" xfId="0" applyNumberFormat="1" applyBorder="1" applyAlignment="1">
      <alignment horizontal="center"/>
    </xf>
    <xf numFmtId="0" fontId="17" fillId="2" borderId="22" xfId="0" applyFont="1" applyFill="1" applyBorder="1" applyAlignment="1">
      <alignment horizontal="center" vertical="center"/>
    </xf>
    <xf numFmtId="1" fontId="0" fillId="0" borderId="23" xfId="0" applyNumberFormat="1" applyBorder="1"/>
    <xf numFmtId="164" fontId="0" fillId="0" borderId="24" xfId="0" applyNumberFormat="1" applyBorder="1"/>
    <xf numFmtId="1" fontId="0" fillId="0" borderId="25" xfId="0" applyNumberFormat="1" applyBorder="1"/>
    <xf numFmtId="164" fontId="0" fillId="0" borderId="26" xfId="0" applyNumberFormat="1" applyBorder="1"/>
    <xf numFmtId="0" fontId="16" fillId="0" borderId="24" xfId="0" applyFont="1" applyBorder="1" applyAlignment="1">
      <alignment wrapText="1"/>
    </xf>
    <xf numFmtId="0" fontId="0" fillId="0" borderId="0" xfId="0" applyAlignment="1">
      <alignment horizontal="left" vertical="top" wrapText="1"/>
    </xf>
    <xf numFmtId="0" fontId="16" fillId="0" borderId="26" xfId="0" applyFont="1" applyBorder="1"/>
  </cellXfs>
  <cellStyles count="3">
    <cellStyle name="Normal" xfId="0" builtinId="0"/>
    <cellStyle name="Normal 2" xfId="2" xr:uid="{333E7C84-AC95-483D-B656-152AA1CB89BE}"/>
    <cellStyle name="Percent" xfId="1" builtinId="5"/>
  </cellStyles>
  <dxfs count="49">
    <dxf>
      <fill>
        <patternFill>
          <bgColor rgb="FFCCFFCC"/>
        </patternFill>
      </fill>
    </dxf>
    <dxf>
      <fill>
        <patternFill>
          <bgColor rgb="FFFFCCCC"/>
        </patternFill>
      </fill>
    </dxf>
    <dxf>
      <fill>
        <patternFill>
          <bgColor rgb="FFCCFFCC"/>
        </patternFill>
      </fill>
    </dxf>
    <dxf>
      <fill>
        <patternFill>
          <bgColor rgb="FFFFCCCC"/>
        </patternFill>
      </fill>
    </dxf>
    <dxf>
      <font>
        <b val="0"/>
        <i val="0"/>
        <strike val="0"/>
        <condense val="0"/>
        <extend val="0"/>
        <outline val="0"/>
        <shadow val="0"/>
        <u val="none"/>
        <vertAlign val="baseline"/>
        <sz val="11"/>
        <color auto="1"/>
        <name val="Calibri"/>
        <family val="2"/>
        <scheme val="minor"/>
      </font>
      <numFmt numFmtId="164" formatCode="dd/mmm/yyyy"/>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mbria"/>
        <family val="2"/>
        <scheme val="major"/>
      </font>
      <fill>
        <patternFill patternType="none">
          <fgColor indexed="64"/>
          <bgColor indexed="65"/>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mbria"/>
        <family val="2"/>
        <scheme val="major"/>
      </font>
      <fill>
        <patternFill patternType="none">
          <fgColor indexed="64"/>
          <bgColor indexed="65"/>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mbria"/>
        <family val="2"/>
        <scheme val="major"/>
      </font>
      <fill>
        <patternFill patternType="none">
          <fgColor indexed="64"/>
          <bgColor indexed="65"/>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mbria"/>
        <family val="2"/>
        <scheme val="major"/>
      </font>
      <fill>
        <patternFill patternType="none">
          <fgColor indexed="64"/>
          <bgColor indexed="65"/>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mbria"/>
        <family val="2"/>
        <scheme val="major"/>
      </font>
      <fill>
        <patternFill patternType="none">
          <fgColor indexed="64"/>
          <bgColor indexed="65"/>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mbria"/>
        <family val="2"/>
        <scheme val="major"/>
      </font>
      <fill>
        <patternFill patternType="none">
          <fgColor indexed="64"/>
          <bgColor indexed="65"/>
        </patternFill>
      </fill>
      <alignment horizontal="center" vertical="center" textRotation="0" wrapText="0" indent="0" justifyLastLine="0" shrinkToFit="0" readingOrder="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mbria"/>
        <family val="2"/>
        <scheme val="major"/>
      </font>
      <fill>
        <patternFill patternType="none">
          <fgColor indexed="64"/>
          <bgColor indexed="65"/>
        </patternFill>
      </fill>
      <alignment horizontal="center" vertical="center" textRotation="0" wrapText="0" indent="0" justifyLastLine="0" shrinkToFit="0" readingOrder="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mbria"/>
        <family val="2"/>
        <scheme val="major"/>
      </font>
      <fill>
        <patternFill patternType="none">
          <fgColor indexed="64"/>
          <bgColor indexed="65"/>
        </patternFill>
      </fill>
      <alignment horizontal="center" vertical="center" textRotation="0" wrapText="1" indent="0" justifyLastLine="0" shrinkToFit="0" readingOrder="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mbria"/>
        <family val="2"/>
        <scheme val="major"/>
      </font>
      <fill>
        <patternFill patternType="none">
          <fgColor indexed="64"/>
          <bgColor indexed="65"/>
        </patternFill>
      </fill>
      <alignment horizontal="center" vertical="center" textRotation="0" wrapText="1" indent="0" justifyLastLine="0" shrinkToFit="0" readingOrder="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numFmt numFmtId="164" formatCode="dd/mmm/yyyy"/>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indent="0" justifyLastLine="0" shrinkToFit="0"/>
    </dxf>
    <dxf>
      <font>
        <b/>
        <i val="0"/>
        <strike val="0"/>
        <condense val="0"/>
        <extend val="0"/>
        <outline val="0"/>
        <shadow val="0"/>
        <u val="none"/>
        <vertAlign val="baseline"/>
        <sz val="11"/>
        <color theme="0"/>
        <name val="Cambria"/>
        <scheme val="major"/>
      </font>
      <fill>
        <patternFill patternType="none">
          <fgColor indexed="64"/>
          <bgColor indexed="65"/>
        </patternFill>
      </fill>
      <alignment horizontal="center" vertical="center" textRotation="0" wrapText="0" indent="0" justifyLastLine="0" shrinkToFit="0" readingOrder="0"/>
    </dxf>
    <dxf>
      <numFmt numFmtId="164" formatCode="dd/m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0" formatCode="General"/>
    </dxf>
    <dxf>
      <numFmt numFmtId="0" formatCode="General"/>
    </dxf>
    <dxf>
      <numFmt numFmtId="1" formatCode="0"/>
    </dxf>
    <dxf>
      <border outline="0">
        <top style="thin">
          <color rgb="FFD8D2CC"/>
        </top>
      </border>
    </dxf>
    <dxf>
      <alignment horizontal="center" vertical="bottom" textRotation="0" wrapText="0" indent="0" justifyLastLine="0" shrinkToFit="0" readingOrder="0"/>
    </dxf>
    <dxf>
      <border outline="0">
        <bottom style="thin">
          <color rgb="FFD8D2CC"/>
        </bottom>
      </border>
    </dxf>
    <dxf>
      <font>
        <b/>
        <i val="0"/>
        <strike val="0"/>
        <condense val="0"/>
        <extend val="0"/>
        <outline val="0"/>
        <shadow val="0"/>
        <u val="none"/>
        <vertAlign val="baseline"/>
        <sz val="11"/>
        <color rgb="FFFFFFFF"/>
        <name val="Calibri"/>
        <family val="2"/>
        <scheme val="none"/>
      </font>
      <fill>
        <patternFill patternType="solid">
          <fgColor rgb="FF800000"/>
          <bgColor rgb="FF7B1818"/>
        </patternFill>
      </fill>
      <alignment horizontal="center" vertical="center" textRotation="0" wrapText="1" indent="0" justifyLastLine="0" shrinkToFit="0" readingOrder="0"/>
      <border diagonalUp="0" diagonalDown="0" outline="0">
        <left style="thin">
          <color rgb="FFD8D2CC"/>
        </left>
        <right style="thin">
          <color rgb="FFD8D2CC"/>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B1818"/>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8D2C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E8651A"/>
      <rgbColor rgb="FF666699"/>
      <rgbColor rgb="FF969696"/>
      <rgbColor rgb="FF003366"/>
      <rgbColor rgb="FF339966"/>
      <rgbColor rgb="FF003300"/>
      <rgbColor rgb="FF333300"/>
      <rgbColor rgb="FF993300"/>
      <rgbColor rgb="FF993366"/>
      <rgbColor rgb="FF333399"/>
      <rgbColor rgb="FF4A3F3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owerPivotData" Target="model/item.data"/><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eetMetadata" Target="metadata.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6154.531454745367" backgroundQuery="1" createdVersion="8" refreshedVersion="8" minRefreshableVersion="3" recordCount="0" supportSubquery="1" supportAdvancedDrill="1" xr:uid="{ADE950AB-5183-4F24-8682-31CF48CAD6C5}">
  <cacheSource type="external" connectionId="1"/>
  <cacheFields count="3">
    <cacheField name="[Feedbacks].[Response Category].[Response Category]" caption="Response Category" numFmtId="0" hierarchy="13" level="1">
      <sharedItems containsSemiMixedTypes="0" containsNonDate="0" containsString="0"/>
    </cacheField>
    <cacheField name="[Feedbacks].[Date (Week)].[Date (Week)]" caption="Date (Week)" numFmtId="0" hierarchy="21" level="1">
      <sharedItems containsSemiMixedTypes="0" containsNonDate="0" containsDate="1" containsString="0" minDate="2026-05-04T00:00:00" maxDate="2026-05-05T00:00:00" count="1">
        <d v="2026-05-04T00:00:00"/>
      </sharedItems>
    </cacheField>
    <cacheField name="[Measures].[Count of Venture Name]" caption="Count of Venture Name" numFmtId="0" hierarchy="28" level="32767"/>
  </cacheFields>
  <cacheHierarchies count="29">
    <cacheHierarchy uniqueName="[Feedbacks].[Respondent ID]" caption="Respondent ID" attribute="1" defaultMemberUniqueName="[Feedbacks].[Respondent ID].[All]" allUniqueName="[Feedbacks].[Respondent ID].[All]" dimensionUniqueName="[Feedbacks]" displayFolder="" count="0" memberValueDatatype="5" unbalanced="0"/>
    <cacheHierarchy uniqueName="[Feedbacks].[Date]" caption="Date" attribute="1" time="1" defaultMemberUniqueName="[Feedbacks].[Date].[All]" allUniqueName="[Feedbacks].[Date].[All]" dimensionUniqueName="[Feedbacks]" displayFolder="" count="0" memberValueDatatype="7" unbalanced="0"/>
    <cacheHierarchy uniqueName="[Feedbacks].[Venture Name]" caption="Venture Name" attribute="1" defaultMemberUniqueName="[Feedbacks].[Venture Name].[All]" allUniqueName="[Feedbacks].[Venture Name].[All]" dimensionUniqueName="[Feedbacks]" displayFolder="" count="0" memberValueDatatype="130" unbalanced="0"/>
    <cacheHierarchy uniqueName="[Feedbacks].[Program Tier]" caption="Program Tier" attribute="1" defaultMemberUniqueName="[Feedbacks].[Program Tier].[All]" allUniqueName="[Feedbacks].[Program Tier].[All]" dimensionUniqueName="[Feedbacks]" displayFolder="" count="0" memberValueDatatype="130" unbalanced="0"/>
    <cacheHierarchy uniqueName="[Feedbacks].[Hub]" caption="Hub" attribute="1" defaultMemberUniqueName="[Feedbacks].[Hub].[All]" allUniqueName="[Feedbacks].[Hub].[All]" dimensionUniqueName="[Feedbacks]" displayFolder="" count="0" memberValueDatatype="130" unbalanced="0"/>
    <cacheHierarchy uniqueName="[Feedbacks].[Mentor Name]" caption="Mentor Name" attribute="1" defaultMemberUniqueName="[Feedbacks].[Mentor Name].[All]" allUniqueName="[Feedbacks].[Mentor Name].[All]" dimensionUniqueName="[Feedbacks]" displayFolder="" count="0" memberValueDatatype="130" unbalanced="0"/>
    <cacheHierarchy uniqueName="[Feedbacks].[Overall Rating (1-5)]" caption="Overall Rating (1-5)" attribute="1" defaultMemberUniqueName="[Feedbacks].[Overall Rating (1-5)].[All]" allUniqueName="[Feedbacks].[Overall Rating (1-5)].[All]" dimensionUniqueName="[Feedbacks]" displayFolder="" count="0" memberValueDatatype="5" unbalanced="0"/>
    <cacheHierarchy uniqueName="[Feedbacks].[How useful was this mentor session for your current business priorities?]" caption="How useful was this mentor session for your current business priorities?" attribute="1" defaultMemberUniqueName="[Feedbacks].[How useful was this mentor session for your current business priorities?].[All]" allUniqueName="[Feedbacks].[How useful was this mentor session for your current business priorities?].[All]" dimensionUniqueName="[Feedbacks]" displayFolder="" count="2" memberValueDatatype="130" unbalanced="0"/>
    <cacheHierarchy uniqueName="[Feedbacks].[Actionability of Advice]" caption="Actionability of Advice" attribute="1" defaultMemberUniqueName="[Feedbacks].[Actionability of Advice].[All]" allUniqueName="[Feedbacks].[Actionability of Advice].[All]" dimensionUniqueName="[Feedbacks]" displayFolder="" count="0" memberValueDatatype="130" unbalanced="0"/>
    <cacheHierarchy uniqueName="[Feedbacks].[Follow-Up Requested?]" caption="Follow-Up Requested?" attribute="1" defaultMemberUniqueName="[Feedbacks].[Follow-Up Requested?].[All]" allUniqueName="[Feedbacks].[Follow-Up Requested?].[All]" dimensionUniqueName="[Feedbacks]" displayFolder="" count="0" memberValueDatatype="130" unbalanced="0"/>
    <cacheHierarchy uniqueName="[Feedbacks].[Verbatim Feedback]" caption="Verbatim Feedback" attribute="1" defaultMemberUniqueName="[Feedbacks].[Verbatim Feedback].[All]" allUniqueName="[Feedbacks].[Verbatim Feedback].[All]" dimensionUniqueName="[Feedbacks]" displayFolder="" count="0" memberValueDatatype="130" unbalanced="0"/>
    <cacheHierarchy uniqueName="[Feedbacks].[Flagged (≤3)?]" caption="Flagged (≤3)?" attribute="1" defaultMemberUniqueName="[Feedbacks].[Flagged (≤3)?].[All]" allUniqueName="[Feedbacks].[Flagged (≤3)?].[All]" dimensionUniqueName="[Feedbacks]" displayFolder="" count="0" memberValueDatatype="130" unbalanced="0"/>
    <cacheHierarchy uniqueName="[Feedbacks].[Action Taken]" caption="Action Taken" attribute="1" defaultMemberUniqueName="[Feedbacks].[Action Taken].[All]" allUniqueName="[Feedbacks].[Action Taken].[All]" dimensionUniqueName="[Feedbacks]" displayFolder="" count="0" memberValueDatatype="130" unbalanced="0"/>
    <cacheHierarchy uniqueName="[Feedbacks].[Response Category]" caption="Response Category" attribute="1" defaultMemberUniqueName="[Feedbacks].[Response Category].[All]" allUniqueName="[Feedbacks].[Response Category].[All]" dimensionUniqueName="[Feedbacks]" displayFolder="" count="2" memberValueDatatype="130" unbalanced="0">
      <fieldsUsage count="2">
        <fieldUsage x="-1"/>
        <fieldUsage x="0"/>
      </fieldsUsage>
    </cacheHierarchy>
    <cacheHierarchy uniqueName="[Feedbacks].[Feedback category]" caption="Feedback category" attribute="1" defaultMemberUniqueName="[Feedbacks].[Feedback category].[All]" allUniqueName="[Feedbacks].[Feedback category].[All]" dimensionUniqueName="[Feedbacks]" displayFolder="" count="0" memberValueDatatype="130" unbalanced="0"/>
    <cacheHierarchy uniqueName="[Feedbacks].[Remarks]" caption="Remarks" attribute="1" defaultMemberUniqueName="[Feedbacks].[Remarks].[All]" allUniqueName="[Feedbacks].[Remarks].[All]" dimensionUniqueName="[Feedbacks]" displayFolder="" count="0" memberValueDatatype="130" unbalanced="0"/>
    <cacheHierarchy uniqueName="[Feedbacks].[Resolved?]" caption="Resolved?" attribute="1" defaultMemberUniqueName="[Feedbacks].[Resolved?].[All]" allUniqueName="[Feedbacks].[Resolved?].[All]" dimensionUniqueName="[Feedbacks]" displayFolder="" count="0" memberValueDatatype="130" unbalanced="0"/>
    <cacheHierarchy uniqueName="[Feedbacks].[Reviewed In Stand-Up?]" caption="Reviewed In Stand-Up?" attribute="1" defaultMemberUniqueName="[Feedbacks].[Reviewed In Stand-Up?].[All]" allUniqueName="[Feedbacks].[Reviewed In Stand-Up?].[All]" dimensionUniqueName="[Feedbacks]" displayFolder="" count="0" memberValueDatatype="130" unbalanced="0"/>
    <cacheHierarchy uniqueName="[Feedbacks].[# How useful was this mentor session for your current business priorities?]" caption="# How useful was this mentor session for your current business priorities?" attribute="1" defaultMemberUniqueName="[Feedbacks].[# How useful was this mentor session for your current business priorities?].[All]" allUniqueName="[Feedbacks].[# How useful was this mentor session for your current business priorities?].[All]" dimensionUniqueName="[Feedbacks]" displayFolder="" count="0" memberValueDatatype="20" unbalanced="0"/>
    <cacheHierarchy uniqueName="[Feedbacks].[# Actionability of Advice]" caption="# Actionability of Advice" attribute="1" defaultMemberUniqueName="[Feedbacks].[# Actionability of Advice].[All]" allUniqueName="[Feedbacks].[# Actionability of Advice].[All]" dimensionUniqueName="[Feedbacks]" displayFolder="" count="0" memberValueDatatype="20" unbalanced="0"/>
    <cacheHierarchy uniqueName="[Feedbacks].[# Follow-Up Requested?]" caption="# Follow-Up Requested?" attribute="1" defaultMemberUniqueName="[Feedbacks].[# Follow-Up Requested?].[All]" allUniqueName="[Feedbacks].[# Follow-Up Requested?].[All]" dimensionUniqueName="[Feedbacks]" displayFolder="" count="0" memberValueDatatype="20" unbalanced="0"/>
    <cacheHierarchy uniqueName="[Feedbacks].[Date (Week)]" caption="Date (Week)" attribute="1" time="1" defaultMemberUniqueName="[Feedbacks].[Date (Week)].[All]" allUniqueName="[Feedbacks].[Date (Week)].[All]" dimensionUniqueName="[Feedbacks]" displayFolder="" count="2" memberValueDatatype="7" unbalanced="0">
      <fieldsUsage count="2">
        <fieldUsage x="-1"/>
        <fieldUsage x="1"/>
      </fieldsUsage>
    </cacheHierarchy>
    <cacheHierarchy uniqueName="[Feedbacks].[Date (Week) (Year)]" caption="Date (Week) (Year)" attribute="1" defaultMemberUniqueName="[Feedbacks].[Date (Week) (Year)].[All]" allUniqueName="[Feedbacks].[Date (Week) (Year)].[All]" dimensionUniqueName="[Feedbacks]" displayFolder="" count="2" memberValueDatatype="130" unbalanced="0"/>
    <cacheHierarchy uniqueName="[Feedbacks].[Date (Week) (Quarter)]" caption="Date (Week) (Quarter)" attribute="1" defaultMemberUniqueName="[Feedbacks].[Date (Week) (Quarter)].[All]" allUniqueName="[Feedbacks].[Date (Week) (Quarter)].[All]" dimensionUniqueName="[Feedbacks]" displayFolder="" count="2" memberValueDatatype="130" unbalanced="0"/>
    <cacheHierarchy uniqueName="[Feedbacks].[Date (Week) (Month)]" caption="Date (Week) (Month)" attribute="1" defaultMemberUniqueName="[Feedbacks].[Date (Week) (Month)].[All]" allUniqueName="[Feedbacks].[Date (Week) (Month)].[All]" dimensionUniqueName="[Feedbacks]" displayFolder="" count="2" memberValueDatatype="130" unbalanced="0"/>
    <cacheHierarchy uniqueName="[Feedbacks].[Date (Week) (Month Index)]" caption="Date (Week) (Month Index)" attribute="1" defaultMemberUniqueName="[Feedbacks].[Date (Week) (Month Index)].[All]" allUniqueName="[Feedbacks].[Date (Week) (Month Index)].[All]" dimensionUniqueName="[Feedbacks]" displayFolder="" count="0" memberValueDatatype="20" unbalanced="0" hidden="1"/>
    <cacheHierarchy uniqueName="[Measures].[__XL_Count Feedbacks]" caption="__XL_Count Feedbacks" measure="1" displayFolder="" measureGroup="Feedbacks" count="0" hidden="1"/>
    <cacheHierarchy uniqueName="[Measures].[__No measures defined]" caption="__No measures defined" measure="1" displayFolder="" count="0" hidden="1"/>
    <cacheHierarchy uniqueName="[Measures].[Count of Venture Name]" caption="Count of Venture Name" measure="1" displayFolder="" measureGroup="Feedbacks" count="0" oneField="1" hidden="1">
      <fieldsUsage count="1">
        <fieldUsage x="2"/>
      </fieldsUsage>
      <extLst>
        <ext xmlns:x15="http://schemas.microsoft.com/office/spreadsheetml/2010/11/main" uri="{B97F6D7D-B522-45F9-BDA1-12C45D357490}">
          <x15:cacheHierarchy aggregatedColumn="2"/>
        </ext>
      </extLst>
    </cacheHierarchy>
  </cacheHierarchies>
  <kpis count="0"/>
  <dimensions count="2">
    <dimension name="Feedbacks" uniqueName="[Feedbacks]" caption="Feedbacks"/>
    <dimension measure="1" name="Measures" uniqueName="[Measures]" caption="Measures"/>
  </dimensions>
  <measureGroups count="1">
    <measureGroup name="Feedbacks" caption="Feedback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54.539302546298" createdVersion="8" refreshedVersion="8" minRefreshableVersion="3" recordCount="31" xr:uid="{ABAEDA67-69F1-4C8A-A943-A4232B43D042}">
  <cacheSource type="worksheet">
    <worksheetSource name="FeedbackFrmMentor"/>
  </cacheSource>
  <cacheFields count="28">
    <cacheField name="Respondent ID" numFmtId="0">
      <sharedItems containsString="0" containsBlank="1" containsNumber="1" containsInteger="1" minValue="115055433189" maxValue="115078155867"/>
    </cacheField>
    <cacheField name="Collector ID" numFmtId="0">
      <sharedItems containsString="0" containsBlank="1" containsNumber="1" containsInteger="1" minValue="438983145" maxValue="438983145"/>
    </cacheField>
    <cacheField name="Start Date" numFmtId="164">
      <sharedItems containsSemiMixedTypes="0" containsNonDate="0" containsDate="1" containsString="0" minDate="2026-02-19T15:25:56" maxDate="2026-04-13T14:33:12"/>
    </cacheField>
    <cacheField name="End Date" numFmtId="0">
      <sharedItems containsNonDate="0" containsDate="1" containsString="0" containsBlank="1" minDate="2026-03-09T14:59:29" maxDate="2026-04-13T14:37:33"/>
    </cacheField>
    <cacheField name="IP Address" numFmtId="0">
      <sharedItems containsBlank="1"/>
    </cacheField>
    <cacheField name="Email Address" numFmtId="0">
      <sharedItems containsNonDate="0" containsString="0" containsBlank="1"/>
    </cacheField>
    <cacheField name="First Name" numFmtId="0">
      <sharedItems containsNonDate="0" containsString="0" containsBlank="1"/>
    </cacheField>
    <cacheField name="Last Name" numFmtId="0">
      <sharedItems containsNonDate="0" containsString="0" containsBlank="1"/>
    </cacheField>
    <cacheField name="Custom Data 1" numFmtId="0">
      <sharedItems containsNonDate="0" containsString="0" containsBlank="1"/>
    </cacheField>
    <cacheField name="Your Name" numFmtId="0">
      <sharedItems/>
    </cacheField>
    <cacheField name="Venture Name" numFmtId="0">
      <sharedItems/>
    </cacheField>
    <cacheField name="Mentee Name" numFmtId="0">
      <sharedItems/>
    </cacheField>
    <cacheField name="1. Was the session agenda relevant to the startup’s current stage and specific needs?" numFmtId="0">
      <sharedItems/>
    </cacheField>
    <cacheField name="2. Did the session agenda help you prepare effectively for the discussion?" numFmtId="0">
      <sharedItems/>
    </cacheField>
    <cacheField name="3. Was the startup’s problem statement or request clearly articulated in the agenda?" numFmtId="0">
      <sharedItems/>
    </cacheField>
    <cacheField name="4. Do you have any suggestions to improve the quality or format of the agenda or recommendations?" numFmtId="0">
      <sharedItems containsBlank="1"/>
    </cacheField>
    <cacheField name="5. How prepared and organized was your mentee for the session?" numFmtId="0">
      <sharedItems containsBlank="1"/>
    </cacheField>
    <cacheField name="6. How engaged is your mentee during mentoring sessions, in terms of active participation and willingness to discuss challenges?" numFmtId="0">
      <sharedItems containsBlank="1"/>
    </cacheField>
    <cacheField name="7. Is there anything the venture (or platform) could have done better to make this session more effective?" numFmtId="0">
      <sharedItems containsBlank="1"/>
    </cacheField>
    <cacheField name="8. How would you like to rate the session?" numFmtId="0">
      <sharedItems containsBlank="1"/>
    </cacheField>
    <cacheField name="9. How relevant were the recommended action items to the discussion during your session?" numFmtId="0">
      <sharedItems containsBlank="1"/>
    </cacheField>
    <cacheField name="10. Were the suggested resources and tools aligned with the session topic and helpful for your next steps?" numFmtId="0">
      <sharedItems containsBlank="1"/>
    </cacheField>
    <cacheField name="11. Is there any additional critical information you believe should be included in the post-session recommendations?" numFmtId="0">
      <sharedItems containsBlank="1"/>
    </cacheField>
    <cacheField name="RN Remarks" numFmtId="0">
      <sharedItems containsNonDate="0" containsString="0" containsBlank="1"/>
    </cacheField>
    <cacheField name="Category" numFmtId="0">
      <sharedItems containsNonDate="0" containsString="0" containsBlank="1"/>
    </cacheField>
    <cacheField name="Response Status" numFmtId="0">
      <sharedItems containsNonDate="0" containsString="0" containsBlank="1"/>
    </cacheField>
    <cacheField name="Start of Week" numFmtId="0">
      <sharedItems containsSemiMixedTypes="0" containsString="0" containsNumber="1" minValue="46069.350104166668" maxValue="46125.606388888889"/>
    </cacheField>
    <cacheField name="Trunc" numFmtId="164">
      <sharedItems containsSemiMixedTypes="0" containsNonDate="0" containsDate="1" containsString="0" minDate="2026-02-16T00:00:00" maxDate="2026-04-14T00:00:00" count="6">
        <d v="2026-04-13T00:00:00"/>
        <d v="2026-04-06T00:00:00"/>
        <d v="2026-03-23T00:00:00"/>
        <d v="2026-03-16T00:00:00"/>
        <d v="2026-03-09T00:00:00"/>
        <d v="2026-02-16T00:00:0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n v="115078155867"/>
    <n v="438983145"/>
    <d v="2026-04-13T14:33:12"/>
    <d v="2026-04-13T14:37:33"/>
    <s v="114.143.38.219"/>
    <m/>
    <m/>
    <m/>
    <m/>
    <s v="Garima Mitra"/>
    <s v="Keepsake Automation Pvt Ltd"/>
    <s v="Keepsake Automation"/>
    <s v="Moderately Relevant"/>
    <s v="Slightly helpful"/>
    <s v="Not at all articulated"/>
    <s v="Agenda has to be articulated."/>
    <s v="Highly prepared"/>
    <s v="Highly Engaged"/>
    <s v="Set the Agenda."/>
    <s v="Neutral"/>
    <s v="Moderately Relevant"/>
    <s v="Moderately aligned"/>
    <m/>
    <m/>
    <m/>
    <m/>
    <n v="46125.606388888889"/>
    <x v="0"/>
  </r>
  <r>
    <n v="115076821481"/>
    <n v="438983145"/>
    <d v="2026-04-10T12:43:49"/>
    <d v="2026-04-10T12:45:08"/>
    <s v="42.105.172.191"/>
    <m/>
    <m/>
    <m/>
    <m/>
    <s v="Ankit Majmudar"/>
    <s v="Zeus Engitech Private Limited"/>
    <s v="Delzad Khambata"/>
    <s v="Extremely Relevant"/>
    <s v="Extremely helpful"/>
    <s v="Clearly articulated"/>
    <s v="All was good"/>
    <m/>
    <m/>
    <m/>
    <m/>
    <m/>
    <m/>
    <m/>
    <m/>
    <m/>
    <m/>
    <n v="46118.530428240738"/>
    <x v="1"/>
  </r>
  <r>
    <n v="115074566802"/>
    <n v="438983145"/>
    <d v="2026-04-07T15:49:20"/>
    <d v="2026-04-07T15:50:31"/>
    <s v="183.83.219.29"/>
    <m/>
    <m/>
    <m/>
    <m/>
    <s v="Kushagra Gupta"/>
    <s v="Eximburg International"/>
    <s v="Hitesh "/>
    <s v="Moderately Relevant"/>
    <s v="Moderately helpful"/>
    <s v="Moderately articulated"/>
    <m/>
    <s v="Moderately prepared"/>
    <s v="Somewhat Engaged"/>
    <m/>
    <s v="Neutral"/>
    <s v="Moderately Relevant"/>
    <s v="Moderately aligned"/>
    <m/>
    <m/>
    <m/>
    <m/>
    <n v="46118.659259259257"/>
    <x v="1"/>
  </r>
  <r>
    <n v="115068064794"/>
    <n v="438983145"/>
    <d v="2026-03-27T10:36:19"/>
    <d v="2026-03-27T10:38:54"/>
    <s v="122.172.82.128"/>
    <m/>
    <m/>
    <m/>
    <m/>
    <s v="Shridhar N Upadhye"/>
    <s v="Tikitaro"/>
    <s v="Prasanna Vasanadu"/>
    <s v="Extremely Relevant"/>
    <s v="Extremely helpful"/>
    <s v="Exceptionally well-defined"/>
    <s v="NIL"/>
    <s v="Extremely prepared"/>
    <s v="Extremely Engaged"/>
    <s v="NIL"/>
    <s v="Very satisfied"/>
    <s v="Extremely Relevant"/>
    <s v="Extremely aligned"/>
    <s v="NIL"/>
    <m/>
    <m/>
    <m/>
    <n v="46104.441886574074"/>
    <x v="2"/>
  </r>
  <r>
    <n v="115067614145"/>
    <n v="438983145"/>
    <d v="2026-03-26T20:53:50"/>
    <d v="2026-03-26T20:56:04"/>
    <s v="106.219.225.66"/>
    <m/>
    <m/>
    <m/>
    <m/>
    <s v="Krishna Dorai"/>
    <s v="Tikitaro"/>
    <s v="Nagaprasanna"/>
    <s v="Extremely Relevant"/>
    <s v="Extremely helpful"/>
    <s v="Exceptionally well-defined"/>
    <m/>
    <s v="Extremely prepared"/>
    <s v="Extremely Engaged"/>
    <m/>
    <s v="Very satisfied"/>
    <s v="Very Relevant"/>
    <s v="Extremely aligned"/>
    <m/>
    <m/>
    <m/>
    <m/>
    <n v="46104.870717592596"/>
    <x v="2"/>
  </r>
  <r>
    <n v="115063561843"/>
    <n v="438983145"/>
    <d v="2026-03-20T17:25:11"/>
    <d v="2026-03-20T17:28:50"/>
    <s v="49.36.221.62"/>
    <m/>
    <m/>
    <m/>
    <m/>
    <s v="Gaurav Bansal"/>
    <s v="Tikitaro"/>
    <s v="Nagaprasanna Vasanadu"/>
    <s v="Extremely Relevant"/>
    <s v="Extremely helpful"/>
    <s v="Clearly articulated"/>
    <s v="None as of now, good initiative, keep rocking !!!"/>
    <s v="Highly prepared"/>
    <s v="Extremely Engaged"/>
    <s v="none as of now, stick to the current format, its working fine !!"/>
    <s v="Very satisfied"/>
    <s v="Extremely Relevant"/>
    <s v="Extremely aligned"/>
    <s v="None as of now"/>
    <m/>
    <m/>
    <m/>
    <n v="46097.725821759261"/>
    <x v="3"/>
  </r>
  <r>
    <n v="115062975290"/>
    <n v="438983145"/>
    <d v="2026-03-19T19:57:47"/>
    <d v="2026-03-19T20:05:53"/>
    <s v="223.231.165.162"/>
    <m/>
    <m/>
    <m/>
    <m/>
    <s v="Shridhar N Upadhye"/>
    <s v="Tikitaro"/>
    <s v="Prasanna Vasanadu"/>
    <s v="Extremely Relevant"/>
    <s v="Extremely helpful"/>
    <s v="Exceptionally well-defined"/>
    <s v="Nothing as of now"/>
    <s v="Extremely prepared"/>
    <s v="Extremely Engaged"/>
    <s v="Nothing specific"/>
    <s v="Very satisfied"/>
    <s v="Extremely Relevant"/>
    <s v="Extremely aligned"/>
    <s v="Nothing specific"/>
    <m/>
    <m/>
    <m/>
    <n v="46097.831793981481"/>
    <x v="3"/>
  </r>
  <r>
    <n v="115061108178"/>
    <n v="438983145"/>
    <d v="2026-03-17T10:02:27"/>
    <d v="2026-03-17T10:17:21"/>
    <s v="106.202.63.28"/>
    <m/>
    <m/>
    <m/>
    <m/>
    <s v="Shailendrasinh Rajput"/>
    <s v="Bull AgriTech"/>
    <s v="Divyajit"/>
    <s v="Highly Relevant"/>
    <s v="Moderately helpful"/>
    <s v="Clearly articulated"/>
    <s v="After introductory session i believe it should now in execution type and action oriented. "/>
    <s v="Extremely prepared"/>
    <s v="Extremely Engaged"/>
    <s v="Share more detail problems which understand not possible in one session "/>
    <s v="Very satisfied"/>
    <s v="Very Relevant"/>
    <s v="Extremely aligned"/>
    <s v="we should be clear what next action we be taking to improve the need of venture and how to go about with team work"/>
    <m/>
    <m/>
    <m/>
    <n v="46097.418368055558"/>
    <x v="3"/>
  </r>
  <r>
    <n v="115060504360"/>
    <n v="438983145"/>
    <d v="2026-03-16T17:11:36"/>
    <d v="2026-03-16T17:16:37"/>
    <s v="171.76.80.255"/>
    <m/>
    <m/>
    <m/>
    <m/>
    <s v="Sivesh Kumar"/>
    <s v="Bebe Burp"/>
    <s v="Forgot"/>
    <s v="Highly Relevant"/>
    <s v="Very helpful"/>
    <s v="Clearly articulated"/>
    <s v="I guess it was ok, and not much is required. "/>
    <s v="Extremely prepared"/>
    <s v="Highly Engaged"/>
    <s v="It is not a one-time thing; mentorship requires more time than just a session. You should work more on it. Assigning mentees for longer periods with a mentor"/>
    <s v="Satisfied"/>
    <s v="Very Relevant"/>
    <s v="Very aligned"/>
    <s v="The mentee was looking more on the side of fundrasing than strategic support. He was a bit confused with GTM but mainly fundraising. It should be clear what the acceptance of mentee is, before entering the call."/>
    <m/>
    <m/>
    <m/>
    <n v="46097.71638888889"/>
    <x v="3"/>
  </r>
  <r>
    <n v="115060464576"/>
    <n v="438983145"/>
    <d v="2026-03-16T15:41:28"/>
    <d v="2026-03-16T15:43:21"/>
    <s v="122.166.190.164"/>
    <m/>
    <m/>
    <m/>
    <m/>
    <s v="Bharat Hudadalli"/>
    <s v="Bebe Burp"/>
    <s v="Chirag Gupta &amp; Bharat Tiberwel"/>
    <s v="Highly Relevant"/>
    <s v="Extremely helpful"/>
    <s v="Clearly articulated"/>
    <s v="All good"/>
    <s v="Highly prepared"/>
    <s v="Highly Engaged"/>
    <s v="All good"/>
    <s v="Satisfied"/>
    <s v="Very Relevant"/>
    <s v="Very aligned"/>
    <s v="N/A"/>
    <m/>
    <m/>
    <m/>
    <n v="46097.653796296298"/>
    <x v="3"/>
  </r>
  <r>
    <n v="115055433189"/>
    <n v="438983145"/>
    <d v="2026-03-09T14:56:58"/>
    <d v="2026-03-09T14:59:29"/>
    <s v="1.7.46.162"/>
    <m/>
    <m/>
    <m/>
    <m/>
    <s v="Bharat Hudadalli"/>
    <s v="Bebe Burp"/>
    <s v="Chirag Gupta &amp; Bharat Tiberwal"/>
    <s v="Extremely Relevant"/>
    <s v="Very helpful"/>
    <s v="Clearly articulated"/>
    <s v="So far good!"/>
    <s v="Highly prepared"/>
    <s v="Extremely Engaged"/>
    <s v="All good!"/>
    <s v="Very satisfied"/>
    <s v="Very Relevant"/>
    <s v="Extremely aligned"/>
    <m/>
    <m/>
    <m/>
    <m/>
    <n v="46090.622893518521"/>
    <x v="4"/>
  </r>
  <r>
    <m/>
    <m/>
    <d v="2026-02-19T15:25:56"/>
    <m/>
    <m/>
    <m/>
    <m/>
    <m/>
    <m/>
    <s v="Jignesh Jain"/>
    <s v="JustAct"/>
    <s v="Rahul"/>
    <s v="Moderately Relevant"/>
    <s v="Moderately helpful"/>
    <s v="Clearly articulated"/>
    <m/>
    <m/>
    <m/>
    <m/>
    <m/>
    <m/>
    <m/>
    <m/>
    <m/>
    <m/>
    <m/>
    <n v="46069.643009259256"/>
    <x v="5"/>
  </r>
  <r>
    <m/>
    <m/>
    <d v="2026-02-19T15:35:59"/>
    <m/>
    <m/>
    <m/>
    <m/>
    <m/>
    <m/>
    <s v="Vignesh Narayanan"/>
    <s v="Ask EVA"/>
    <s v="Mohammad eshan"/>
    <s v="Moderately Relevant"/>
    <s v="Slightly helpful"/>
    <s v="Not at all articulated"/>
    <m/>
    <m/>
    <m/>
    <m/>
    <m/>
    <m/>
    <m/>
    <m/>
    <m/>
    <m/>
    <m/>
    <n v="46069.649988425925"/>
    <x v="5"/>
  </r>
  <r>
    <m/>
    <m/>
    <d v="2026-02-19T15:48:44"/>
    <m/>
    <m/>
    <m/>
    <m/>
    <m/>
    <m/>
    <s v="Dr. Naman Agarwal"/>
    <s v="Leap Info"/>
    <s v="Sudhir"/>
    <s v="Extremely Relevant"/>
    <s v="Extremely helpful"/>
    <s v="Exceptionally well-defined"/>
    <m/>
    <m/>
    <m/>
    <m/>
    <m/>
    <m/>
    <m/>
    <m/>
    <m/>
    <m/>
    <m/>
    <n v="46069.658842592595"/>
    <x v="5"/>
  </r>
  <r>
    <m/>
    <m/>
    <d v="2026-02-19T16:16:15"/>
    <m/>
    <m/>
    <m/>
    <m/>
    <m/>
    <m/>
    <s v="Abhay Jajoo"/>
    <s v="Qarmatek"/>
    <s v="Krunal Shah"/>
    <s v="Moderately Relevant"/>
    <s v="Moderately helpful"/>
    <s v="Moderately articulated"/>
    <m/>
    <m/>
    <m/>
    <m/>
    <m/>
    <m/>
    <m/>
    <m/>
    <m/>
    <m/>
    <m/>
    <n v="46069.677951388891"/>
    <x v="5"/>
  </r>
  <r>
    <m/>
    <m/>
    <d v="2026-02-19T16:23:57"/>
    <m/>
    <m/>
    <m/>
    <m/>
    <m/>
    <m/>
    <s v="Suhasini Barman"/>
    <s v="REAGRI - NANOBEE BIOINNOVATIONS"/>
    <s v="Reagri"/>
    <s v="Extremely Relevant"/>
    <s v="Extremely helpful"/>
    <s v="Clearly articulated"/>
    <m/>
    <m/>
    <m/>
    <m/>
    <m/>
    <m/>
    <m/>
    <m/>
    <m/>
    <m/>
    <m/>
    <n v="46069.683298611111"/>
    <x v="5"/>
  </r>
  <r>
    <m/>
    <m/>
    <d v="2026-02-19T17:53:56"/>
    <m/>
    <m/>
    <m/>
    <m/>
    <m/>
    <m/>
    <s v="Abhay Jajoo"/>
    <s v="Servercake"/>
    <s v="Amith Kumar Kalimuthu"/>
    <s v="Extremely Relevant"/>
    <s v="Extremely helpful"/>
    <s v="Exceptionally well-defined"/>
    <m/>
    <m/>
    <m/>
    <m/>
    <m/>
    <m/>
    <m/>
    <m/>
    <m/>
    <m/>
    <m/>
    <n v="46069.745787037034"/>
    <x v="5"/>
  </r>
  <r>
    <m/>
    <m/>
    <d v="2026-02-19T18:25:49"/>
    <m/>
    <m/>
    <m/>
    <m/>
    <m/>
    <m/>
    <s v="Ashesh D Shah"/>
    <s v="Qarmatek"/>
    <s v="Krunal Shah"/>
    <s v="Extremely Relevant"/>
    <s v="Extremely helpful"/>
    <s v="Exceptionally well-defined"/>
    <m/>
    <m/>
    <m/>
    <m/>
    <m/>
    <m/>
    <m/>
    <m/>
    <m/>
    <m/>
    <m/>
    <n v="46069.767928240741"/>
    <x v="5"/>
  </r>
  <r>
    <m/>
    <m/>
    <d v="2026-02-19T18:27:05"/>
    <m/>
    <m/>
    <m/>
    <m/>
    <m/>
    <m/>
    <s v="Nirmallya Roy Chowdhury"/>
    <s v="Qarmatek"/>
    <s v="Krunal Shah"/>
    <s v="Extremely Relevant"/>
    <s v="Extremely helpful"/>
    <s v="Exceptionally well-defined"/>
    <m/>
    <m/>
    <m/>
    <m/>
    <m/>
    <m/>
    <m/>
    <m/>
    <m/>
    <m/>
    <m/>
    <n v="46069.768807870372"/>
    <x v="5"/>
  </r>
  <r>
    <m/>
    <m/>
    <d v="2026-02-19T18:44:56"/>
    <m/>
    <m/>
    <m/>
    <m/>
    <m/>
    <m/>
    <s v="Deepak Srinivasan"/>
    <s v="Vaultastic"/>
    <s v="Tarun"/>
    <s v="Highly Relevant"/>
    <s v="Very helpful"/>
    <s v="Clearly articulated"/>
    <m/>
    <m/>
    <m/>
    <m/>
    <m/>
    <m/>
    <m/>
    <m/>
    <m/>
    <m/>
    <m/>
    <n v="46069.7812037037"/>
    <x v="5"/>
  </r>
  <r>
    <m/>
    <m/>
    <d v="2026-02-19T19:15:02"/>
    <m/>
    <m/>
    <m/>
    <m/>
    <m/>
    <m/>
    <s v="Srinivas Yanamandra"/>
    <s v="Rupiya Finnovations Pvt Ltd"/>
    <s v="Dhaval shah"/>
    <s v="Extremely Relevant"/>
    <s v="Extremely helpful"/>
    <s v="Exceptionally well-defined"/>
    <m/>
    <m/>
    <m/>
    <m/>
    <m/>
    <m/>
    <m/>
    <m/>
    <m/>
    <m/>
    <m/>
    <n v="46069.802106481482"/>
    <x v="5"/>
  </r>
  <r>
    <m/>
    <m/>
    <d v="2026-02-19T19:23:22"/>
    <m/>
    <m/>
    <m/>
    <m/>
    <m/>
    <m/>
    <s v="Srinivas Yanamandra"/>
    <s v="Hreedan Lifestyle "/>
    <s v="Rekharani bhanudas mane"/>
    <s v="Extremely Relevant"/>
    <s v="Extremely helpful"/>
    <s v="Exceptionally well-defined"/>
    <m/>
    <m/>
    <m/>
    <m/>
    <m/>
    <m/>
    <m/>
    <m/>
    <m/>
    <m/>
    <m/>
    <n v="46069.807893518519"/>
    <x v="5"/>
  </r>
  <r>
    <m/>
    <m/>
    <d v="2026-02-19T19:26:25"/>
    <m/>
    <m/>
    <m/>
    <m/>
    <m/>
    <m/>
    <s v="Kavya Dehulia"/>
    <s v="Stembotix"/>
    <s v="Sagar"/>
    <s v="Not Relevant"/>
    <s v="Not at all helpful"/>
    <s v="Not at all articulated"/>
    <m/>
    <m/>
    <m/>
    <m/>
    <m/>
    <m/>
    <m/>
    <m/>
    <m/>
    <m/>
    <m/>
    <n v="46069.810011574074"/>
    <x v="5"/>
  </r>
  <r>
    <m/>
    <m/>
    <d v="2026-02-19T20:24:45"/>
    <m/>
    <m/>
    <m/>
    <m/>
    <m/>
    <m/>
    <s v="Mahesh Natranjan"/>
    <s v="Botminds.ai"/>
    <s v="Pankaj"/>
    <s v="Extremely Relevant"/>
    <s v="Moderately helpful"/>
    <s v="Exceptionally well-defined"/>
    <m/>
    <m/>
    <m/>
    <m/>
    <m/>
    <m/>
    <m/>
    <m/>
    <m/>
    <m/>
    <m/>
    <n v="46069.85052083333"/>
    <x v="5"/>
  </r>
  <r>
    <m/>
    <m/>
    <d v="2026-02-20T08:24:09"/>
    <m/>
    <m/>
    <m/>
    <m/>
    <m/>
    <m/>
    <s v="Mahesh Natranjan"/>
    <s v="Exposit Immersive Solution Pvt Ltd"/>
    <s v="Roshan Rawal"/>
    <s v="Extremely Relevant"/>
    <s v="Extremely helpful"/>
    <s v="Exceptionally well-defined"/>
    <m/>
    <m/>
    <m/>
    <m/>
    <m/>
    <m/>
    <m/>
    <m/>
    <m/>
    <m/>
    <m/>
    <n v="46069.350104166668"/>
    <x v="5"/>
  </r>
  <r>
    <m/>
    <m/>
    <d v="2026-02-20T08:25:38"/>
    <m/>
    <m/>
    <m/>
    <m/>
    <m/>
    <m/>
    <s v="Manu Kumar"/>
    <s v="Manufyx"/>
    <s v="Sanjeev Iyer"/>
    <s v="Extremely Relevant"/>
    <s v="Extremely helpful"/>
    <s v="Exceptionally well-defined"/>
    <m/>
    <m/>
    <m/>
    <m/>
    <m/>
    <m/>
    <m/>
    <m/>
    <m/>
    <m/>
    <m/>
    <n v="46069.351134259261"/>
    <x v="5"/>
  </r>
  <r>
    <m/>
    <m/>
    <d v="2026-02-20T08:43:06"/>
    <m/>
    <m/>
    <m/>
    <m/>
    <m/>
    <m/>
    <s v="Anant Sood"/>
    <s v="Vaultastic"/>
    <s v="."/>
    <s v="Extremely Relevant"/>
    <s v="Moderately helpful"/>
    <s v="Exceptionally well-defined"/>
    <m/>
    <m/>
    <m/>
    <m/>
    <m/>
    <m/>
    <m/>
    <m/>
    <m/>
    <m/>
    <m/>
    <n v="46069.363263888888"/>
    <x v="5"/>
  </r>
  <r>
    <m/>
    <m/>
    <d v="2026-02-20T08:57:21"/>
    <m/>
    <m/>
    <m/>
    <m/>
    <m/>
    <m/>
    <s v="Anant Sood"/>
    <s v="Tailor Smart"/>
    <s v="."/>
    <s v="Highly Relevant"/>
    <s v="Very helpful"/>
    <s v="Clearly articulated"/>
    <m/>
    <m/>
    <m/>
    <m/>
    <m/>
    <m/>
    <m/>
    <m/>
    <m/>
    <m/>
    <m/>
    <n v="46069.373159722221"/>
    <x v="5"/>
  </r>
  <r>
    <m/>
    <m/>
    <d v="2026-02-20T08:59:56"/>
    <m/>
    <m/>
    <m/>
    <m/>
    <m/>
    <m/>
    <s v="Anant Sood"/>
    <s v="Qarmatek"/>
    <s v="."/>
    <s v="Extremely Relevant"/>
    <s v="Extremely helpful"/>
    <s v="Moderately articulated"/>
    <m/>
    <m/>
    <m/>
    <m/>
    <m/>
    <m/>
    <m/>
    <m/>
    <m/>
    <m/>
    <m/>
    <n v="46069.3749537037"/>
    <x v="5"/>
  </r>
  <r>
    <m/>
    <m/>
    <d v="2026-02-20T09:01:54"/>
    <m/>
    <m/>
    <m/>
    <m/>
    <m/>
    <m/>
    <s v="Manu Kumar"/>
    <s v="Dhobi G"/>
    <s v="Daksh Sabharwal"/>
    <s v="Extremely Relevant"/>
    <s v="Very helpful"/>
    <s v="Clearly articulated"/>
    <m/>
    <m/>
    <m/>
    <m/>
    <m/>
    <m/>
    <m/>
    <m/>
    <m/>
    <m/>
    <m/>
    <n v="46069.376319444447"/>
    <x v="5"/>
  </r>
  <r>
    <m/>
    <m/>
    <d v="2026-02-20T09:51:08"/>
    <m/>
    <m/>
    <m/>
    <m/>
    <m/>
    <m/>
    <s v="Manu Kumar"/>
    <s v="Raptee Energy Pvt Ltd"/>
    <s v="Dinesh Arjun"/>
    <s v="Highly Relevant"/>
    <s v="Extremely helpful"/>
    <s v="Exceptionally well-defined"/>
    <m/>
    <m/>
    <m/>
    <m/>
    <m/>
    <m/>
    <m/>
    <m/>
    <m/>
    <m/>
    <m/>
    <n v="46069.410509259258"/>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0689A8-5113-421A-9C06-89F69D581331}" name="PivotTable3"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5" firstHeaderRow="1" firstDataRow="1" firstDataCol="1" rowPageCount="1" colPageCount="1"/>
  <pivotFields count="3">
    <pivotField axis="axisPage" allDrilled="1" subtotalTop="0" showAll="0" dataSourceSort="1" defaultSubtotal="0" defaultAttributeDrillState="1"/>
    <pivotField axis="axisRow" allDrilled="1" subtotalTop="0" showAll="0" dataSourceSort="1" defaultSubtotal="0" defaultAttributeDrillState="1">
      <items count="1">
        <item s="1" x="0"/>
      </items>
    </pivotField>
    <pivotField dataField="1" subtotalTop="0" showAll="0" defaultSubtotal="0"/>
  </pivotFields>
  <rowFields count="1">
    <field x="1"/>
  </rowFields>
  <rowItems count="2">
    <i>
      <x/>
    </i>
    <i t="grand">
      <x/>
    </i>
  </rowItems>
  <colItems count="1">
    <i/>
  </colItems>
  <pageFields count="1">
    <pageField fld="0" hier="13" name="[Feedbacks].[Response Category].&amp;" cap=""/>
  </pageFields>
  <dataFields count="1">
    <dataField name="Count of Venture Name" fld="2"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Feedbacks].[Response Category].&amp;"/>
        <member name="[Feedbacks].[Response Category].&amp;[Received]"/>
        <member name="[Feedbacks].[Response Category].&amp;[Pending Reply]"/>
        <member name="[Feedbacks].[Response Category].&amp;[No Response: Call Disconnec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6_Feedback_Quality_Tracker.xlsx!Feedbacks">
        <x15:activeTabTopLevelEntity name="[Feedback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7B4934-7954-400C-B814-473A00F42864}"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B8" firstHeaderRow="1" firstDataRow="1" firstDataCol="1"/>
  <pivotFields count="28">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numFmtId="164" outline="0" showAll="0">
      <items count="7">
        <item x="5"/>
        <item x="4"/>
        <item x="3"/>
        <item x="2"/>
        <item x="1"/>
        <item x="0"/>
        <item t="default"/>
      </items>
    </pivotField>
  </pivotFields>
  <rowFields count="1">
    <field x="27"/>
  </rowFields>
  <rowItems count="7">
    <i>
      <x/>
    </i>
    <i>
      <x v="1"/>
    </i>
    <i>
      <x v="2"/>
    </i>
    <i>
      <x v="3"/>
    </i>
    <i>
      <x v="4"/>
    </i>
    <i>
      <x v="5"/>
    </i>
    <i t="grand">
      <x/>
    </i>
  </rowItems>
  <colItems count="1">
    <i/>
  </colItems>
  <dataFields count="1">
    <dataField name="Count of Venture Name"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8A2D99-3DFC-4A7D-947F-1C10AA406F56}" name="FeedbackTracker" displayName="FeedbackTracker" ref="A1:V110" totalsRowShown="0" headerRowDxfId="48" dataDxfId="46" headerRowBorderDxfId="47" tableBorderDxfId="45">
  <autoFilter ref="A1:V110" xr:uid="{138A2D99-3DFC-4A7D-947F-1C10AA406F56}">
    <filterColumn colId="5">
      <filters>
        <filter val="Prem Sanjay Vuthandam"/>
        <filter val="Sanjay Sharma"/>
      </filters>
    </filterColumn>
  </autoFilter>
  <tableColumns count="22">
    <tableColumn id="1" xr3:uid="{405B9B3F-E6C1-44B0-A215-B87F18ADBDC8}" name="Respondent ID" dataDxfId="44"/>
    <tableColumn id="2" xr3:uid="{A86B338A-A1FE-40C5-BCC2-BF740E2E150F}" name="Date"/>
    <tableColumn id="3" xr3:uid="{F7BF538B-C59E-4221-B854-AE2B50C3D54E}" name="Venture Name"/>
    <tableColumn id="4" xr3:uid="{37AC4758-1FAE-43AD-91D4-254617384B3F}" name="Program Tier" dataDxfId="43"/>
    <tableColumn id="5" xr3:uid="{AEBD2355-2EF4-47A6-BF2D-2B030A8AD226}" name="Hub" dataDxfId="42"/>
    <tableColumn id="6" xr3:uid="{8B533804-F68C-4920-A54B-9AE702AD0ABF}" name="Mentor Name"/>
    <tableColumn id="7" xr3:uid="{0BCF6529-AC4B-4E7E-98D7-FCE21C72C62E}" name="Overall Rating (1-5)" dataDxfId="41">
      <calculatedColumnFormula>AVERAGE(S2:T2)</calculatedColumnFormula>
    </tableColumn>
    <tableColumn id="8" xr3:uid="{01033252-3395-4F8C-9774-101F453BB1F8}" name="How useful was this mentor session for your current business priorities?"/>
    <tableColumn id="9" xr3:uid="{4EECD3D1-134E-46FF-8369-AF447B22A4EF}" name="Actionability of Advice"/>
    <tableColumn id="10" xr3:uid="{7A5E0910-D8DF-45FC-86B6-E25A0C0D6305}" name="Follow-Up Requested?" dataDxfId="40"/>
    <tableColumn id="11" xr3:uid="{D4FB44A5-EC92-4F59-BC15-B0E889E22CD7}" name="Verbatim Feedback"/>
    <tableColumn id="12" xr3:uid="{1A7C7258-1C15-49EC-BF04-F63AF4926371}" name="Flagged (≤3)?" dataDxfId="39"/>
    <tableColumn id="13" xr3:uid="{0400842D-6DFB-4821-A5C5-1E11FE8E5B94}" name="Action Taken"/>
    <tableColumn id="14" xr3:uid="{87A157BD-263E-4FB6-9283-86853379C5DD}" name="Response Category"/>
    <tableColumn id="15" xr3:uid="{E48968EE-8ED5-4662-B015-55D57AC91D8A}" name="Feedback category"/>
    <tableColumn id="16" xr3:uid="{CADADABC-D4AE-4643-903D-9158233A66A2}" name="Remarks" dataDxfId="38"/>
    <tableColumn id="17" xr3:uid="{4FF92CE6-83D2-42CB-B56F-8B082A6901A5}" name="Resolved?"/>
    <tableColumn id="18" xr3:uid="{5AEC3EEB-77C0-4AD7-A8AC-0B257074F75D}" name="Reviewed In Stand-Up?"/>
    <tableColumn id="19" xr3:uid="{67755AF2-1A11-441B-B063-C3D1793A0E55}" name="#_x000a_How useful was this mentor session for your current business priorities?" dataDxfId="37">
      <calculatedColumnFormula>IF(H2="Extremely useful",5,IF(H2="Very useful",4,IF(H2="Moderately useful",3,IF(H2="Slightly useful",2,IF(H2="Not useful",1)))))</calculatedColumnFormula>
    </tableColumn>
    <tableColumn id="20" xr3:uid="{D7DC00AE-AEC0-4869-BD72-EC9775FBDD28}" name="#_x000a_Actionability of Advice" dataDxfId="36">
      <calculatedColumnFormula>IF(I2="Yes",5,IF(I2="Partly",3,IF(I2="No",1)))</calculatedColumnFormula>
    </tableColumn>
    <tableColumn id="21" xr3:uid="{F3540534-6741-4A0F-972E-000F8F8B202C}" name="#_x000a_Follow-Up Requested?" dataDxfId="35">
      <calculatedColumnFormula>IF(J2="Yes",5,IF(J2="No",1))</calculatedColumnFormula>
    </tableColumn>
    <tableColumn id="22" xr3:uid="{D0029347-73D3-4703-B99F-CCCDCA441483}" name="Date (Week)" dataDxfId="34">
      <calculatedColumnFormula>IF(ISBLANK(FeedbackTracker[[#This Row],[Date]]),"",INT(FeedbackTracker[[#This Row],[Date]]-WEEKDAY(FeedbackTracker[[#This Row],[Date]],2)+1))</calculatedColumnFormula>
    </tableColumn>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AF7E3A-E8C8-4BBF-ABC7-AD5C3169CDB4}" name="FeedbackFrmMentor" displayName="FeedbackFrmMentor" ref="A1:AB32" totalsRowShown="0" headerRowDxfId="33" dataDxfId="32">
  <autoFilter ref="A1:AB32" xr:uid="{7C3660AD-AAFB-401D-8568-CA7664363846}"/>
  <tableColumns count="28">
    <tableColumn id="1" xr3:uid="{1E4BB619-7A80-415E-8F9A-6250BEFF5F2C}" name="Respondent ID" dataDxfId="31"/>
    <tableColumn id="2" xr3:uid="{48214019-44D7-4741-A8AE-F194902A1BDA}" name="Collector ID" dataDxfId="30"/>
    <tableColumn id="3" xr3:uid="{8AE5DEDC-04C2-405D-BB0B-CC31E84C9222}" name="Start Date" dataDxfId="29"/>
    <tableColumn id="4" xr3:uid="{D9EACB5C-EE97-4C1A-927C-7251540BC341}" name="End Date" dataDxfId="28"/>
    <tableColumn id="5" xr3:uid="{BFD7D1B3-EF77-4CDD-A4C8-2A6CE0E2AA01}" name="IP Address" dataDxfId="27"/>
    <tableColumn id="6" xr3:uid="{5935EFB1-900B-4BF9-9687-9583A5FE0496}" name="Email Address" dataDxfId="26"/>
    <tableColumn id="7" xr3:uid="{08F149C0-5EF0-4410-AB32-F7402E1D1396}" name="First Name" dataDxfId="25"/>
    <tableColumn id="8" xr3:uid="{93F86E42-BA2F-4F72-A665-2BE02E7B1DD2}" name="Last Name" dataDxfId="24"/>
    <tableColumn id="9" xr3:uid="{278373CA-2F2F-4089-886A-A7E207599CB4}" name="Custom Data 1" dataDxfId="23"/>
    <tableColumn id="10" xr3:uid="{1EDDA151-27D3-4FF8-A7FC-757780D823D4}" name="Your Name" dataDxfId="22"/>
    <tableColumn id="11" xr3:uid="{2793846F-B4E1-4AA4-8245-8EE065E5252E}" name="Venture Name" dataDxfId="21"/>
    <tableColumn id="12" xr3:uid="{8F3AC67D-9F37-4D4B-A176-BCE42AE67387}" name="Mentee Name" dataDxfId="20"/>
    <tableColumn id="13" xr3:uid="{CEBEB06D-6EC8-4503-8643-4545F38FAF73}" name="1. Was the session agenda relevant to the startup’s current stage and specific needs?" dataDxfId="19"/>
    <tableColumn id="14" xr3:uid="{101B5025-8492-4482-8D2F-11584E0B42FB}" name="2. Did the session agenda help you prepare effectively for the discussion?" dataDxfId="18"/>
    <tableColumn id="15" xr3:uid="{140CC676-E818-4351-8031-0EC95086B14A}" name="3. Was the startup’s problem statement or request clearly articulated in the agenda?" dataDxfId="17"/>
    <tableColumn id="16" xr3:uid="{97124445-9671-43C6-85E4-F7C11EB2D946}" name="4. Do you have any suggestions to improve the quality or format of the agenda or recommendations?" dataDxfId="16"/>
    <tableColumn id="17" xr3:uid="{23B60ACE-F2CA-4A9B-B791-74251A03259E}" name="5. How prepared and organized was your mentee for the session?" dataDxfId="15"/>
    <tableColumn id="18" xr3:uid="{762D37E6-F591-4ADF-872F-887458539063}" name="6. How engaged is your mentee during mentoring sessions, in terms of active participation and willingness to discuss challenges?" dataDxfId="14"/>
    <tableColumn id="19" xr3:uid="{47D8E13D-46A3-4105-8E68-67923539EEB3}" name="7. Is there anything the venture (or platform) could have done better to make this session more effective?" dataDxfId="13"/>
    <tableColumn id="20" xr3:uid="{0D7863D5-3363-496D-A8BD-3F5E6741A8CD}" name="8. How would you like to rate the session?" dataDxfId="12"/>
    <tableColumn id="21" xr3:uid="{EB18759D-F546-4DD3-AEBD-64E6EB813887}" name="9. How relevant were the recommended action items to the discussion during your session?" dataDxfId="11"/>
    <tableColumn id="22" xr3:uid="{B5DF16EF-6A8A-4D32-A438-79416943C015}" name="10. Were the suggested resources and tools aligned with the session topic and helpful for your next steps?" dataDxfId="10"/>
    <tableColumn id="23" xr3:uid="{B7B5C7AF-917E-4D93-8495-2FC864DD4AF5}" name="11. Is there any additional critical information you believe should be included in the post-session recommendations?" dataDxfId="9"/>
    <tableColumn id="24" xr3:uid="{A927F27D-FD34-476C-99FE-C2D27771D474}" name="RN Remarks" dataDxfId="8"/>
    <tableColumn id="25" xr3:uid="{8B63DA4C-5C70-4382-B8DE-4250D9E06A9E}" name="Category" dataDxfId="7"/>
    <tableColumn id="26" xr3:uid="{F6717E37-5751-4282-8B42-0B2E6ECA1C63}" name="Response Status" dataDxfId="6"/>
    <tableColumn id="27" xr3:uid="{72929A05-D749-4DB8-9B97-F076D6965EB0}" name="Start of Week" dataDxfId="5">
      <calculatedColumnFormula>IF(ISBLANK(FeedbackFrmMentor[[#This Row],[Start Date]]),"",FeedbackFrmMentor[[#This Row],[Start Date]]-WEEKDAY(FeedbackFrmMentor[[#This Row],[Start Date]],2)+1)</calculatedColumnFormula>
    </tableColumn>
    <tableColumn id="28" xr3:uid="{5EB5F148-09DE-43AE-8CD2-BDB077CC3102}" name="Trunc" dataDxfId="4">
      <calculatedColumnFormula>TRUNC(FeedbackFrmMentor[[#This Row],[Start of Week]],0)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F739C-0595-4514-B234-F72C30D07922}">
  <sheetPr>
    <tabColor rgb="FF7B1818"/>
  </sheetPr>
  <dimension ref="A1:V110"/>
  <sheetViews>
    <sheetView tabSelected="1" zoomScaleNormal="85" workbookViewId="0">
      <selection activeCell="D8" sqref="D8"/>
    </sheetView>
  </sheetViews>
  <sheetFormatPr defaultColWidth="8.6640625" defaultRowHeight="26.4" customHeight="1" x14ac:dyDescent="0.3"/>
  <cols>
    <col min="1" max="1" width="16" style="8" customWidth="1"/>
    <col min="2" max="2" width="23.33203125" customWidth="1"/>
    <col min="3" max="3" width="26.33203125" customWidth="1"/>
    <col min="4" max="4" width="16" customWidth="1"/>
    <col min="5" max="5" width="15.6640625" customWidth="1"/>
    <col min="6" max="6" width="23" customWidth="1"/>
    <col min="7" max="7" width="20.109375" style="5" customWidth="1"/>
    <col min="8" max="8" width="35.44140625" customWidth="1"/>
    <col min="9" max="9" width="23.33203125" customWidth="1"/>
    <col min="10" max="10" width="22.6640625" style="5" customWidth="1"/>
    <col min="11" max="11" width="52.33203125" customWidth="1"/>
    <col min="12" max="12" width="14.5546875" style="5" customWidth="1"/>
    <col min="13" max="13" width="32.33203125" customWidth="1"/>
    <col min="14" max="14" width="24" style="7" customWidth="1"/>
    <col min="15" max="15" width="24" customWidth="1"/>
    <col min="16" max="16" width="48.33203125" style="7" customWidth="1"/>
    <col min="17" max="17" width="11.6640625" customWidth="1"/>
    <col min="18" max="18" width="23.5546875" customWidth="1"/>
    <col min="19" max="19" width="33.109375" style="5" customWidth="1"/>
    <col min="20" max="21" width="28.5546875" style="5" customWidth="1"/>
    <col min="22" max="22" width="12.109375" bestFit="1" customWidth="1"/>
  </cols>
  <sheetData>
    <row r="1" spans="1:22" ht="26.4" customHeight="1" x14ac:dyDescent="0.3">
      <c r="A1" s="9" t="s">
        <v>0</v>
      </c>
      <c r="B1" s="10" t="s">
        <v>1</v>
      </c>
      <c r="C1" s="10" t="s">
        <v>2</v>
      </c>
      <c r="D1" s="11" t="s">
        <v>3</v>
      </c>
      <c r="E1" s="12" t="s">
        <v>4</v>
      </c>
      <c r="F1" s="10" t="s">
        <v>5</v>
      </c>
      <c r="G1" s="12" t="s">
        <v>6</v>
      </c>
      <c r="H1" s="12" t="s">
        <v>7</v>
      </c>
      <c r="I1" s="12" t="s">
        <v>8</v>
      </c>
      <c r="J1" s="13" t="s">
        <v>9</v>
      </c>
      <c r="K1" s="10" t="s">
        <v>10</v>
      </c>
      <c r="L1" s="12" t="s">
        <v>11</v>
      </c>
      <c r="M1" s="12" t="s">
        <v>12</v>
      </c>
      <c r="N1" s="12" t="s">
        <v>13</v>
      </c>
      <c r="O1" s="12" t="s">
        <v>14</v>
      </c>
      <c r="P1" s="12" t="s">
        <v>15</v>
      </c>
      <c r="Q1" s="12" t="s">
        <v>16</v>
      </c>
      <c r="R1" s="12" t="s">
        <v>17</v>
      </c>
      <c r="S1" s="12" t="s">
        <v>18</v>
      </c>
      <c r="T1" s="12" t="s">
        <v>19</v>
      </c>
      <c r="U1" s="12" t="s">
        <v>20</v>
      </c>
      <c r="V1" s="81" t="s">
        <v>21</v>
      </c>
    </row>
    <row r="2" spans="1:22" s="15" customFormat="1" ht="26.4" hidden="1" customHeight="1" x14ac:dyDescent="0.3">
      <c r="A2" s="8">
        <v>115104773879</v>
      </c>
      <c r="B2" s="4">
        <v>46163</v>
      </c>
      <c r="C2" t="s">
        <v>188</v>
      </c>
      <c r="D2" t="s">
        <v>452</v>
      </c>
      <c r="E2" t="s">
        <v>453</v>
      </c>
      <c r="F2" t="s">
        <v>189</v>
      </c>
      <c r="G2" s="6">
        <f t="shared" ref="G2:G33" si="0">AVERAGE(S2:T2)</f>
        <v>4.5</v>
      </c>
      <c r="H2" t="s">
        <v>24</v>
      </c>
      <c r="I2" t="s">
        <v>26</v>
      </c>
      <c r="J2" s="5" t="s">
        <v>26</v>
      </c>
      <c r="K2" s="7" t="s">
        <v>449</v>
      </c>
      <c r="L2" s="5"/>
      <c r="M2"/>
      <c r="N2"/>
      <c r="O2"/>
      <c r="P2" s="7"/>
      <c r="Q2"/>
      <c r="R2"/>
      <c r="S2" s="5">
        <f>IF(H2="Extremely useful",5,IF(H2="Very useful",4,IF(H2="Moderately useful",3,IF(H2="Slightly useful",2,IF(H2="Not useful",1)))))</f>
        <v>4</v>
      </c>
      <c r="T2" s="5">
        <f>IF(I2="Yes",5,IF(I2="Partly",3,IF(I2="No",1)))</f>
        <v>5</v>
      </c>
      <c r="U2" s="5">
        <f>IF(J2="Yes",5,IF(J2="No",1))</f>
        <v>5</v>
      </c>
      <c r="V2" s="82">
        <f>IF(ISBLANK(FeedbackTracker[[#This Row],[Date]]),"",INT(FeedbackTracker[[#This Row],[Date]]-WEEKDAY(FeedbackTracker[[#This Row],[Date]],2)+1))</f>
        <v>46160</v>
      </c>
    </row>
    <row r="3" spans="1:22" s="15" customFormat="1" ht="26.4" hidden="1" customHeight="1" x14ac:dyDescent="0.3">
      <c r="A3" s="8">
        <v>115100331078</v>
      </c>
      <c r="B3" s="4">
        <v>46156</v>
      </c>
      <c r="C3" t="s">
        <v>22</v>
      </c>
      <c r="D3" t="s">
        <v>452</v>
      </c>
      <c r="E3" t="s">
        <v>454</v>
      </c>
      <c r="F3" t="s">
        <v>23</v>
      </c>
      <c r="G3" s="6">
        <f t="shared" si="0"/>
        <v>3.5</v>
      </c>
      <c r="H3" t="s">
        <v>24</v>
      </c>
      <c r="I3" t="s">
        <v>25</v>
      </c>
      <c r="J3" s="5" t="s">
        <v>26</v>
      </c>
      <c r="K3" s="7" t="s">
        <v>27</v>
      </c>
      <c r="L3" s="5"/>
      <c r="M3"/>
      <c r="N3"/>
      <c r="O3" t="s">
        <v>28</v>
      </c>
      <c r="P3" s="7"/>
      <c r="Q3"/>
      <c r="R3"/>
      <c r="S3" s="5">
        <f>IF(H3="Extremely useful",5,IF(H3="Very useful",4,IF(H3="Moderately useful",3,IF(H3="Slightly useful",2,IF(H3="Not useful",1)))))</f>
        <v>4</v>
      </c>
      <c r="T3" s="5">
        <f>IF(I3="Yes",5,IF(I3="Partly",3,IF(I3="No",1)))</f>
        <v>3</v>
      </c>
      <c r="U3" s="5">
        <f>IF(J3="Yes",5,IF(J3="No",1))</f>
        <v>5</v>
      </c>
      <c r="V3" s="82">
        <f>IF(ISBLANK(FeedbackTracker[[#This Row],[Date]]),"",INT(FeedbackTracker[[#This Row],[Date]]-WEEKDAY(FeedbackTracker[[#This Row],[Date]],2)+1))</f>
        <v>46153</v>
      </c>
    </row>
    <row r="4" spans="1:22" s="15" customFormat="1" ht="26.4" hidden="1" customHeight="1" x14ac:dyDescent="0.3">
      <c r="A4" s="8">
        <v>115101125450</v>
      </c>
      <c r="B4" s="4">
        <v>46157</v>
      </c>
      <c r="C4" t="s">
        <v>29</v>
      </c>
      <c r="D4" t="s">
        <v>452</v>
      </c>
      <c r="E4" t="s">
        <v>455</v>
      </c>
      <c r="F4" t="s">
        <v>30</v>
      </c>
      <c r="G4" s="6">
        <f t="shared" si="0"/>
        <v>4.5</v>
      </c>
      <c r="H4" t="s">
        <v>24</v>
      </c>
      <c r="I4" t="s">
        <v>26</v>
      </c>
      <c r="J4" s="5" t="s">
        <v>26</v>
      </c>
      <c r="K4" s="7" t="s">
        <v>31</v>
      </c>
      <c r="L4" s="5" t="s">
        <v>26</v>
      </c>
      <c r="M4"/>
      <c r="N4"/>
      <c r="O4"/>
      <c r="P4" s="7"/>
      <c r="Q4"/>
      <c r="R4"/>
      <c r="S4" s="5">
        <f>IF(H4="Extremely useful",5,IF(H4="Very useful",4,IF(H4="Moderately useful",3,IF(H4="Slightly useful",2,IF(H4="Not useful",1)))))</f>
        <v>4</v>
      </c>
      <c r="T4" s="5">
        <f>IF(I4="Yes",5,IF(I4="Partly",3,IF(I4="No",1)))</f>
        <v>5</v>
      </c>
      <c r="U4" s="5">
        <f>IF(J4="Yes",5,IF(J4="No",1))</f>
        <v>5</v>
      </c>
      <c r="V4" s="82">
        <f>IF(ISBLANK(FeedbackTracker[[#This Row],[Date]]),"",INT(FeedbackTracker[[#This Row],[Date]]-WEEKDAY(FeedbackTracker[[#This Row],[Date]],2)+1))</f>
        <v>46153</v>
      </c>
    </row>
    <row r="5" spans="1:22" s="15" customFormat="1" ht="26.4" hidden="1" customHeight="1" x14ac:dyDescent="0.3">
      <c r="A5" s="8">
        <v>115100263275</v>
      </c>
      <c r="B5" s="4">
        <v>46156</v>
      </c>
      <c r="C5" t="s">
        <v>32</v>
      </c>
      <c r="D5" t="s">
        <v>452</v>
      </c>
      <c r="E5" t="s">
        <v>453</v>
      </c>
      <c r="F5" t="s">
        <v>33</v>
      </c>
      <c r="G5" s="6">
        <f>AVERAGE(S5:T5)</f>
        <v>3.5</v>
      </c>
      <c r="H5" t="s">
        <v>24</v>
      </c>
      <c r="I5" t="s">
        <v>25</v>
      </c>
      <c r="J5" s="5" t="s">
        <v>34</v>
      </c>
      <c r="K5" s="7" t="s">
        <v>35</v>
      </c>
      <c r="L5" s="5" t="str">
        <f>IF(G5&lt;=3,"Yes","No")</f>
        <v>No</v>
      </c>
      <c r="M5"/>
      <c r="N5" t="s">
        <v>36</v>
      </c>
      <c r="O5"/>
      <c r="P5" s="7" t="s">
        <v>37</v>
      </c>
      <c r="Q5"/>
      <c r="R5"/>
      <c r="S5" s="5">
        <f>IF(H5="Extremely useful",5,IF(H5="Very useful",4,IF(H5="Moderately useful",3,IF(H5="Slightly useful",2,IF(H5="Not useful",1)))))</f>
        <v>4</v>
      </c>
      <c r="T5" s="5">
        <f>IF(I5="Yes",5,IF(I5="Partly",3,IF(I5="No",1)))</f>
        <v>3</v>
      </c>
      <c r="U5" s="5">
        <f>IF(J5="Yes",5,IF(J5="No",1))</f>
        <v>1</v>
      </c>
      <c r="V5" s="82">
        <f>IF(ISBLANK(FeedbackTracker[[#This Row],[Date]]),"",INT(FeedbackTracker[[#This Row],[Date]]-WEEKDAY(FeedbackTracker[[#This Row],[Date]],2)+1))</f>
        <v>46153</v>
      </c>
    </row>
    <row r="6" spans="1:22" s="15" customFormat="1" ht="26.4" hidden="1" customHeight="1" x14ac:dyDescent="0.3">
      <c r="A6" s="8">
        <v>115100253848</v>
      </c>
      <c r="B6" s="4">
        <v>46156</v>
      </c>
      <c r="C6" t="s">
        <v>32</v>
      </c>
      <c r="D6" t="s">
        <v>452</v>
      </c>
      <c r="E6" t="s">
        <v>453</v>
      </c>
      <c r="F6" t="s">
        <v>38</v>
      </c>
      <c r="G6" s="6">
        <f t="shared" si="0"/>
        <v>4.5</v>
      </c>
      <c r="H6" t="s">
        <v>24</v>
      </c>
      <c r="I6" t="s">
        <v>26</v>
      </c>
      <c r="J6" s="5" t="s">
        <v>34</v>
      </c>
      <c r="K6" s="7" t="s">
        <v>39</v>
      </c>
      <c r="L6" s="5"/>
      <c r="M6"/>
      <c r="N6"/>
      <c r="O6"/>
      <c r="P6" s="7"/>
      <c r="Q6"/>
      <c r="R6"/>
      <c r="S6" s="5">
        <f>IF(H6="Extremely useful",5,IF(H6="Very useful",4,IF(H6="Moderately useful",3,IF(H6="Slightly useful",2,IF(H6="Not useful",1)))))</f>
        <v>4</v>
      </c>
      <c r="T6" s="5">
        <f>IF(I6="Yes",5,IF(I6="Partly",3,IF(I6="No",1)))</f>
        <v>5</v>
      </c>
      <c r="U6" s="5">
        <f>IF(J6="Yes",5,IF(J6="No",1))</f>
        <v>1</v>
      </c>
      <c r="V6" s="82">
        <f>IF(ISBLANK(FeedbackTracker[[#This Row],[Date]]),"",INT(FeedbackTracker[[#This Row],[Date]]-WEEKDAY(FeedbackTracker[[#This Row],[Date]],2)+1))</f>
        <v>46153</v>
      </c>
    </row>
    <row r="7" spans="1:22" s="15" customFormat="1" ht="26.4" hidden="1" customHeight="1" x14ac:dyDescent="0.3">
      <c r="A7" s="8">
        <v>115100236156</v>
      </c>
      <c r="B7" s="4">
        <v>46156</v>
      </c>
      <c r="C7" t="s">
        <v>40</v>
      </c>
      <c r="D7" t="s">
        <v>452</v>
      </c>
      <c r="E7" t="s">
        <v>453</v>
      </c>
      <c r="F7" t="s">
        <v>41</v>
      </c>
      <c r="G7" s="6">
        <f t="shared" si="0"/>
        <v>4</v>
      </c>
      <c r="H7" t="s">
        <v>42</v>
      </c>
      <c r="I7" t="s">
        <v>26</v>
      </c>
      <c r="J7" s="5" t="s">
        <v>26</v>
      </c>
      <c r="K7" s="7" t="s">
        <v>43</v>
      </c>
      <c r="L7" s="5" t="str">
        <f t="shared" ref="L7" si="1">IF(G7&lt;=3,"Yes","No")</f>
        <v>No</v>
      </c>
      <c r="M7"/>
      <c r="N7" s="7" t="s">
        <v>36</v>
      </c>
      <c r="O7"/>
      <c r="P7" s="7" t="s">
        <v>44</v>
      </c>
      <c r="Q7"/>
      <c r="R7"/>
      <c r="S7" s="5">
        <f t="shared" ref="S7" si="2">IF(H7="Extremely useful",5,IF(H7="Very useful",4,IF(H7="Moderately useful",3,IF(H7="Slightly useful",2,IF(H7="Not useful",1)))))</f>
        <v>3</v>
      </c>
      <c r="T7" s="5">
        <f t="shared" ref="T7" si="3">IF(I7="Yes",5,IF(I7="Partly",3,IF(I7="No",1)))</f>
        <v>5</v>
      </c>
      <c r="U7" s="5">
        <f t="shared" ref="U7" si="4">IF(J7="Yes",5,IF(J7="No",1))</f>
        <v>5</v>
      </c>
      <c r="V7" s="82">
        <f>IF(ISBLANK(FeedbackTracker[[#This Row],[Date]]),"",INT(FeedbackTracker[[#This Row],[Date]]-WEEKDAY(FeedbackTracker[[#This Row],[Date]],2)+1))</f>
        <v>46153</v>
      </c>
    </row>
    <row r="8" spans="1:22" s="15" customFormat="1" ht="26.4" customHeight="1" x14ac:dyDescent="0.3">
      <c r="A8" s="8">
        <v>115099419177</v>
      </c>
      <c r="B8" s="4">
        <v>46155</v>
      </c>
      <c r="C8" t="s">
        <v>45</v>
      </c>
      <c r="D8" t="s">
        <v>452</v>
      </c>
      <c r="E8" t="s">
        <v>454</v>
      </c>
      <c r="F8" t="s">
        <v>46</v>
      </c>
      <c r="G8" s="6">
        <f t="shared" si="0"/>
        <v>4.5</v>
      </c>
      <c r="H8" s="14" t="s">
        <v>24</v>
      </c>
      <c r="I8" t="s">
        <v>26</v>
      </c>
      <c r="J8" s="5" t="s">
        <v>34</v>
      </c>
      <c r="K8" s="79" t="s">
        <v>47</v>
      </c>
      <c r="L8" s="5" t="str">
        <f t="shared" ref="L8" si="5">IF(G8&lt;=3,"Yes","No")</f>
        <v>No</v>
      </c>
      <c r="M8"/>
      <c r="N8"/>
      <c r="O8"/>
      <c r="P8" s="7" t="s">
        <v>48</v>
      </c>
      <c r="Q8"/>
      <c r="R8"/>
      <c r="S8" s="5">
        <f t="shared" ref="S8" si="6">IF(H8="Extremely useful",5,IF(H8="Very useful",4,IF(H8="Moderately useful",3,IF(H8="Slightly useful",2,IF(H8="Not useful",1)))))</f>
        <v>4</v>
      </c>
      <c r="T8" s="5">
        <f t="shared" ref="T8" si="7">IF(I8="Yes",5,IF(I8="Partly",3,IF(I8="No",1)))</f>
        <v>5</v>
      </c>
      <c r="U8" s="5">
        <f t="shared" ref="U8" si="8">IF(J8="Yes",5,IF(J8="No",1))</f>
        <v>1</v>
      </c>
      <c r="V8" s="82">
        <f>IF(ISBLANK(FeedbackTracker[[#This Row],[Date]]),"",INT(FeedbackTracker[[#This Row],[Date]]-WEEKDAY(FeedbackTracker[[#This Row],[Date]],2)+1))</f>
        <v>46153</v>
      </c>
    </row>
    <row r="9" spans="1:22" s="15" customFormat="1" ht="26.4" hidden="1" customHeight="1" x14ac:dyDescent="0.3">
      <c r="A9" s="8">
        <v>115099491986</v>
      </c>
      <c r="B9" s="4">
        <v>46155</v>
      </c>
      <c r="C9" t="s">
        <v>49</v>
      </c>
      <c r="D9" t="s">
        <v>452</v>
      </c>
      <c r="E9" t="s">
        <v>454</v>
      </c>
      <c r="F9" t="s">
        <v>50</v>
      </c>
      <c r="G9" s="6">
        <f t="shared" si="0"/>
        <v>4.5</v>
      </c>
      <c r="H9" t="s">
        <v>24</v>
      </c>
      <c r="I9" t="s">
        <v>26</v>
      </c>
      <c r="J9" s="5" t="s">
        <v>26</v>
      </c>
      <c r="K9" s="7" t="s">
        <v>51</v>
      </c>
      <c r="L9" s="5" t="str">
        <f>IF(G9&lt;=3,"Yes","No")</f>
        <v>No</v>
      </c>
      <c r="M9"/>
      <c r="N9"/>
      <c r="O9"/>
      <c r="P9" s="7"/>
      <c r="Q9"/>
      <c r="R9"/>
      <c r="S9" s="5">
        <f t="shared" ref="S9:S40" si="9">IF(H9="Extremely useful",5,IF(H9="Very useful",4,IF(H9="Moderately useful",3,IF(H9="Slightly useful",2,IF(H9="Not useful",1)))))</f>
        <v>4</v>
      </c>
      <c r="T9" s="5">
        <f t="shared" ref="T9:T40" si="10">IF(I9="Yes",5,IF(I9="Partly",3,IF(I9="No",1)))</f>
        <v>5</v>
      </c>
      <c r="U9" s="5">
        <f t="shared" ref="U9:U40" si="11">IF(J9="Yes",5,IF(J9="No",1))</f>
        <v>5</v>
      </c>
      <c r="V9" s="82">
        <f>IF(ISBLANK(FeedbackTracker[[#This Row],[Date]]),"",INT(FeedbackTracker[[#This Row],[Date]]-WEEKDAY(FeedbackTracker[[#This Row],[Date]],2)+1))</f>
        <v>46153</v>
      </c>
    </row>
    <row r="10" spans="1:22" s="15" customFormat="1" ht="26.4" hidden="1" customHeight="1" x14ac:dyDescent="0.3">
      <c r="A10" s="8">
        <v>115097528792</v>
      </c>
      <c r="B10" s="4">
        <v>46153</v>
      </c>
      <c r="C10" s="14" t="s">
        <v>52</v>
      </c>
      <c r="D10" s="15" t="s">
        <v>452</v>
      </c>
      <c r="E10" s="15" t="s">
        <v>453</v>
      </c>
      <c r="F10" s="14" t="s">
        <v>53</v>
      </c>
      <c r="G10" s="6">
        <f t="shared" si="0"/>
        <v>4.5</v>
      </c>
      <c r="H10" s="14" t="s">
        <v>24</v>
      </c>
      <c r="I10" s="14" t="s">
        <v>26</v>
      </c>
      <c r="J10" s="5" t="s">
        <v>26</v>
      </c>
      <c r="K10" s="14" t="s">
        <v>54</v>
      </c>
      <c r="L10" s="5" t="s">
        <v>34</v>
      </c>
      <c r="M10" s="14"/>
      <c r="P10" s="80"/>
      <c r="S10" s="5">
        <f t="shared" si="9"/>
        <v>4</v>
      </c>
      <c r="T10" s="5">
        <f t="shared" si="10"/>
        <v>5</v>
      </c>
      <c r="U10" s="5">
        <f t="shared" si="11"/>
        <v>5</v>
      </c>
      <c r="V10" s="82">
        <f>IF(ISBLANK(FeedbackTracker[[#This Row],[Date]]),"",INT(FeedbackTracker[[#This Row],[Date]]-WEEKDAY(FeedbackTracker[[#This Row],[Date]],2)+1))</f>
        <v>46153</v>
      </c>
    </row>
    <row r="11" spans="1:22" s="15" customFormat="1" ht="26.4" hidden="1" customHeight="1" x14ac:dyDescent="0.3">
      <c r="A11" s="8">
        <v>115095338090</v>
      </c>
      <c r="B11" s="4">
        <v>46149</v>
      </c>
      <c r="C11" s="14" t="s">
        <v>55</v>
      </c>
      <c r="D11" s="15" t="s">
        <v>452</v>
      </c>
      <c r="E11" s="15" t="s">
        <v>453</v>
      </c>
      <c r="F11" s="14" t="s">
        <v>56</v>
      </c>
      <c r="G11" s="6">
        <f t="shared" si="0"/>
        <v>5</v>
      </c>
      <c r="H11" s="14" t="s">
        <v>57</v>
      </c>
      <c r="I11" s="14" t="s">
        <v>26</v>
      </c>
      <c r="J11" s="5" t="s">
        <v>34</v>
      </c>
      <c r="K11" s="14" t="s">
        <v>58</v>
      </c>
      <c r="L11" s="5" t="s">
        <v>34</v>
      </c>
      <c r="M11" s="14"/>
      <c r="P11" s="80"/>
      <c r="S11" s="5">
        <f t="shared" si="9"/>
        <v>5</v>
      </c>
      <c r="T11" s="5">
        <f t="shared" si="10"/>
        <v>5</v>
      </c>
      <c r="U11" s="5">
        <f t="shared" si="11"/>
        <v>1</v>
      </c>
      <c r="V11" s="82">
        <f>IF(ISBLANK(FeedbackTracker[[#This Row],[Date]]),"",INT(FeedbackTracker[[#This Row],[Date]]-WEEKDAY(FeedbackTracker[[#This Row],[Date]],2)+1))</f>
        <v>46146</v>
      </c>
    </row>
    <row r="12" spans="1:22" s="15" customFormat="1" ht="26.4" hidden="1" customHeight="1" x14ac:dyDescent="0.3">
      <c r="A12" s="8">
        <v>115095310455</v>
      </c>
      <c r="B12" s="4">
        <v>46149</v>
      </c>
      <c r="C12" s="14" t="s">
        <v>59</v>
      </c>
      <c r="D12" s="15" t="s">
        <v>452</v>
      </c>
      <c r="E12" s="15" t="s">
        <v>455</v>
      </c>
      <c r="F12" s="14" t="s">
        <v>60</v>
      </c>
      <c r="G12" s="6">
        <f t="shared" si="0"/>
        <v>3</v>
      </c>
      <c r="H12" s="14" t="s">
        <v>42</v>
      </c>
      <c r="I12" s="14" t="s">
        <v>25</v>
      </c>
      <c r="J12" s="5" t="s">
        <v>34</v>
      </c>
      <c r="K12" s="107" t="s">
        <v>61</v>
      </c>
      <c r="L12" s="5" t="s">
        <v>34</v>
      </c>
      <c r="M12" s="14" t="s">
        <v>62</v>
      </c>
      <c r="N12" s="14" t="s">
        <v>36</v>
      </c>
      <c r="O12" s="16" t="s">
        <v>63</v>
      </c>
      <c r="P12" s="80" t="s">
        <v>64</v>
      </c>
      <c r="S12" s="5">
        <f t="shared" si="9"/>
        <v>3</v>
      </c>
      <c r="T12" s="5">
        <f t="shared" si="10"/>
        <v>3</v>
      </c>
      <c r="U12" s="5">
        <f t="shared" si="11"/>
        <v>1</v>
      </c>
      <c r="V12" s="82">
        <f>IF(ISBLANK(FeedbackTracker[[#This Row],[Date]]),"",INT(FeedbackTracker[[#This Row],[Date]]-WEEKDAY(FeedbackTracker[[#This Row],[Date]],2)+1))</f>
        <v>46146</v>
      </c>
    </row>
    <row r="13" spans="1:22" s="15" customFormat="1" ht="26.4" hidden="1" customHeight="1" x14ac:dyDescent="0.3">
      <c r="A13" s="8">
        <v>115092759158</v>
      </c>
      <c r="B13" s="4">
        <v>46146</v>
      </c>
      <c r="C13" s="14" t="s">
        <v>65</v>
      </c>
      <c r="D13" s="15" t="s">
        <v>452</v>
      </c>
      <c r="E13" s="15" t="s">
        <v>453</v>
      </c>
      <c r="F13" s="14" t="s">
        <v>38</v>
      </c>
      <c r="G13" s="6">
        <f t="shared" si="0"/>
        <v>5</v>
      </c>
      <c r="H13" s="14" t="s">
        <v>57</v>
      </c>
      <c r="I13" s="14" t="s">
        <v>26</v>
      </c>
      <c r="J13" s="5" t="s">
        <v>26</v>
      </c>
      <c r="K13" s="14" t="s">
        <v>66</v>
      </c>
      <c r="L13" s="5" t="s">
        <v>34</v>
      </c>
      <c r="M13" s="14"/>
      <c r="P13" s="80"/>
      <c r="S13" s="5">
        <f t="shared" si="9"/>
        <v>5</v>
      </c>
      <c r="T13" s="5">
        <f t="shared" si="10"/>
        <v>5</v>
      </c>
      <c r="U13" s="5">
        <f t="shared" si="11"/>
        <v>5</v>
      </c>
      <c r="V13" s="82">
        <f>IF(ISBLANK(FeedbackTracker[[#This Row],[Date]]),"",INT(FeedbackTracker[[#This Row],[Date]]-WEEKDAY(FeedbackTracker[[#This Row],[Date]],2)+1))</f>
        <v>46146</v>
      </c>
    </row>
    <row r="14" spans="1:22" s="15" customFormat="1" ht="26.4" hidden="1" customHeight="1" x14ac:dyDescent="0.3">
      <c r="A14" s="8">
        <v>115084318304</v>
      </c>
      <c r="B14" s="4">
        <v>46134</v>
      </c>
      <c r="C14" s="14" t="s">
        <v>67</v>
      </c>
      <c r="D14" s="15" t="s">
        <v>452</v>
      </c>
      <c r="E14" s="15" t="s">
        <v>453</v>
      </c>
      <c r="F14" s="14" t="s">
        <v>68</v>
      </c>
      <c r="G14" s="6">
        <f t="shared" si="0"/>
        <v>3</v>
      </c>
      <c r="H14" s="14" t="s">
        <v>42</v>
      </c>
      <c r="I14" s="14" t="s">
        <v>25</v>
      </c>
      <c r="J14" s="17" t="s">
        <v>34</v>
      </c>
      <c r="K14" s="14" t="s">
        <v>69</v>
      </c>
      <c r="L14" s="5" t="s">
        <v>26</v>
      </c>
      <c r="M14" s="14" t="s">
        <v>62</v>
      </c>
      <c r="N14" s="15" t="s">
        <v>36</v>
      </c>
      <c r="O14" s="15" t="s">
        <v>70</v>
      </c>
      <c r="P14" s="16" t="s">
        <v>451</v>
      </c>
      <c r="S14" s="5">
        <f t="shared" si="9"/>
        <v>3</v>
      </c>
      <c r="T14" s="5">
        <f t="shared" si="10"/>
        <v>3</v>
      </c>
      <c r="U14" s="5">
        <f t="shared" si="11"/>
        <v>1</v>
      </c>
      <c r="V14" s="82">
        <f>IF(ISBLANK(FeedbackTracker[[#This Row],[Date]]),"",INT(FeedbackTracker[[#This Row],[Date]]-WEEKDAY(FeedbackTracker[[#This Row],[Date]],2)+1))</f>
        <v>46132</v>
      </c>
    </row>
    <row r="15" spans="1:22" s="15" customFormat="1" ht="26.4" hidden="1" customHeight="1" x14ac:dyDescent="0.3">
      <c r="A15" s="8">
        <v>115084260317</v>
      </c>
      <c r="B15" s="4">
        <v>46134</v>
      </c>
      <c r="C15" s="14" t="s">
        <v>71</v>
      </c>
      <c r="D15" s="15" t="s">
        <v>456</v>
      </c>
      <c r="E15" s="15" t="s">
        <v>453</v>
      </c>
      <c r="F15" s="14" t="s">
        <v>72</v>
      </c>
      <c r="G15" s="6">
        <f t="shared" si="0"/>
        <v>3.5</v>
      </c>
      <c r="H15" s="14" t="s">
        <v>24</v>
      </c>
      <c r="I15" s="14" t="s">
        <v>25</v>
      </c>
      <c r="J15" s="17" t="s">
        <v>26</v>
      </c>
      <c r="K15" s="14" t="s">
        <v>73</v>
      </c>
      <c r="L15" s="5" t="s">
        <v>26</v>
      </c>
      <c r="M15" s="14" t="s">
        <v>62</v>
      </c>
      <c r="N15" s="15" t="s">
        <v>36</v>
      </c>
      <c r="O15" s="16" t="s">
        <v>63</v>
      </c>
      <c r="P15" s="16" t="s">
        <v>74</v>
      </c>
      <c r="S15" s="5">
        <f t="shared" si="9"/>
        <v>4</v>
      </c>
      <c r="T15" s="5">
        <f t="shared" si="10"/>
        <v>3</v>
      </c>
      <c r="U15" s="5">
        <f t="shared" si="11"/>
        <v>5</v>
      </c>
      <c r="V15" s="82">
        <f>IF(ISBLANK(FeedbackTracker[[#This Row],[Date]]),"",INT(FeedbackTracker[[#This Row],[Date]]-WEEKDAY(FeedbackTracker[[#This Row],[Date]],2)+1))</f>
        <v>46132</v>
      </c>
    </row>
    <row r="16" spans="1:22" ht="26.4" hidden="1" customHeight="1" x14ac:dyDescent="0.3">
      <c r="A16" s="8">
        <v>115080568744</v>
      </c>
      <c r="B16" s="4">
        <v>46128.594328703701</v>
      </c>
      <c r="C16" t="s">
        <v>75</v>
      </c>
      <c r="D16" t="s">
        <v>452</v>
      </c>
      <c r="E16" t="s">
        <v>453</v>
      </c>
      <c r="F16" t="s">
        <v>76</v>
      </c>
      <c r="G16" s="6">
        <f t="shared" si="0"/>
        <v>4</v>
      </c>
      <c r="H16" t="s">
        <v>57</v>
      </c>
      <c r="I16" t="s">
        <v>25</v>
      </c>
      <c r="J16" s="5" t="s">
        <v>26</v>
      </c>
      <c r="K16" t="s">
        <v>77</v>
      </c>
      <c r="L16" s="5" t="str">
        <f t="shared" ref="L16:L47" si="12">IF(G16&lt;=3,"Yes","No")</f>
        <v>No</v>
      </c>
      <c r="M16" s="7" t="s">
        <v>62</v>
      </c>
      <c r="N16"/>
      <c r="O16" t="s">
        <v>63</v>
      </c>
      <c r="P16" s="7" t="s">
        <v>78</v>
      </c>
      <c r="S16" s="5">
        <f t="shared" si="9"/>
        <v>5</v>
      </c>
      <c r="T16" s="5">
        <f t="shared" si="10"/>
        <v>3</v>
      </c>
      <c r="U16" s="5">
        <f t="shared" si="11"/>
        <v>5</v>
      </c>
      <c r="V16" s="82">
        <f>IF(ISBLANK(FeedbackTracker[[#This Row],[Date]]),"",INT(FeedbackTracker[[#This Row],[Date]]-WEEKDAY(FeedbackTracker[[#This Row],[Date]],2)+1))</f>
        <v>46125</v>
      </c>
    </row>
    <row r="17" spans="1:22" ht="26.4" hidden="1" customHeight="1" x14ac:dyDescent="0.3">
      <c r="A17" s="8">
        <v>115080545344</v>
      </c>
      <c r="B17" s="4">
        <v>46128.567789351851</v>
      </c>
      <c r="C17" t="s">
        <v>79</v>
      </c>
      <c r="D17" t="s">
        <v>452</v>
      </c>
      <c r="E17" t="s">
        <v>453</v>
      </c>
      <c r="F17" t="s">
        <v>38</v>
      </c>
      <c r="G17" s="6">
        <f t="shared" si="0"/>
        <v>4.5</v>
      </c>
      <c r="H17" t="s">
        <v>24</v>
      </c>
      <c r="I17" t="s">
        <v>26</v>
      </c>
      <c r="J17" s="5" t="s">
        <v>34</v>
      </c>
      <c r="K17" t="s">
        <v>80</v>
      </c>
      <c r="L17" s="5" t="str">
        <f t="shared" si="12"/>
        <v>No</v>
      </c>
      <c r="M17" s="7" t="s">
        <v>62</v>
      </c>
      <c r="N17"/>
      <c r="S17" s="5">
        <f t="shared" si="9"/>
        <v>4</v>
      </c>
      <c r="T17" s="5">
        <f t="shared" si="10"/>
        <v>5</v>
      </c>
      <c r="U17" s="5">
        <f t="shared" si="11"/>
        <v>1</v>
      </c>
      <c r="V17" s="82">
        <f>IF(ISBLANK(FeedbackTracker[[#This Row],[Date]]),"",INT(FeedbackTracker[[#This Row],[Date]]-WEEKDAY(FeedbackTracker[[#This Row],[Date]],2)+1))</f>
        <v>46125</v>
      </c>
    </row>
    <row r="18" spans="1:22" ht="26.4" hidden="1" customHeight="1" x14ac:dyDescent="0.3">
      <c r="A18" s="8">
        <v>115080527222</v>
      </c>
      <c r="B18" s="4">
        <v>46128.541655092595</v>
      </c>
      <c r="C18" t="s">
        <v>81</v>
      </c>
      <c r="D18" t="s">
        <v>457</v>
      </c>
      <c r="E18" t="s">
        <v>454</v>
      </c>
      <c r="F18" t="s">
        <v>38</v>
      </c>
      <c r="G18" s="6">
        <f t="shared" si="0"/>
        <v>4.5</v>
      </c>
      <c r="H18" t="s">
        <v>24</v>
      </c>
      <c r="I18" t="s">
        <v>26</v>
      </c>
      <c r="J18" s="5" t="s">
        <v>26</v>
      </c>
      <c r="K18" t="s">
        <v>82</v>
      </c>
      <c r="L18" s="5" t="str">
        <f t="shared" si="12"/>
        <v>No</v>
      </c>
      <c r="N18"/>
      <c r="S18" s="5">
        <f t="shared" si="9"/>
        <v>4</v>
      </c>
      <c r="T18" s="5">
        <f t="shared" si="10"/>
        <v>5</v>
      </c>
      <c r="U18" s="5">
        <f t="shared" si="11"/>
        <v>5</v>
      </c>
      <c r="V18" s="82">
        <f>IF(ISBLANK(FeedbackTracker[[#This Row],[Date]]),"",INT(FeedbackTracker[[#This Row],[Date]]-WEEKDAY(FeedbackTracker[[#This Row],[Date]],2)+1))</f>
        <v>46125</v>
      </c>
    </row>
    <row r="19" spans="1:22" ht="26.4" hidden="1" customHeight="1" x14ac:dyDescent="0.3">
      <c r="A19" s="8">
        <v>115067302264</v>
      </c>
      <c r="B19" s="4">
        <v>46107.50136574074</v>
      </c>
      <c r="C19" t="s">
        <v>22</v>
      </c>
      <c r="D19" t="s">
        <v>452</v>
      </c>
      <c r="E19" t="s">
        <v>454</v>
      </c>
      <c r="F19" t="s">
        <v>83</v>
      </c>
      <c r="G19" s="6">
        <f t="shared" si="0"/>
        <v>5</v>
      </c>
      <c r="H19" t="s">
        <v>57</v>
      </c>
      <c r="I19" t="s">
        <v>26</v>
      </c>
      <c r="J19" s="5" t="s">
        <v>34</v>
      </c>
      <c r="K19" t="s">
        <v>84</v>
      </c>
      <c r="L19" s="5" t="str">
        <f t="shared" si="12"/>
        <v>No</v>
      </c>
      <c r="N19"/>
      <c r="S19" s="5">
        <f t="shared" si="9"/>
        <v>5</v>
      </c>
      <c r="T19" s="5">
        <f t="shared" si="10"/>
        <v>5</v>
      </c>
      <c r="U19" s="5">
        <f t="shared" si="11"/>
        <v>1</v>
      </c>
      <c r="V19" s="82">
        <f>IF(ISBLANK(FeedbackTracker[[#This Row],[Date]]),"",INT(FeedbackTracker[[#This Row],[Date]]-WEEKDAY(FeedbackTracker[[#This Row],[Date]],2)+1))</f>
        <v>46104</v>
      </c>
    </row>
    <row r="20" spans="1:22" ht="26.4" hidden="1" customHeight="1" x14ac:dyDescent="0.3">
      <c r="A20" s="8">
        <v>115065626399</v>
      </c>
      <c r="B20" s="4">
        <v>46105.557916666665</v>
      </c>
      <c r="C20" t="s">
        <v>85</v>
      </c>
      <c r="D20" t="s">
        <v>452</v>
      </c>
      <c r="E20" t="s">
        <v>453</v>
      </c>
      <c r="F20" t="s">
        <v>86</v>
      </c>
      <c r="G20" s="6">
        <f t="shared" si="0"/>
        <v>4.5</v>
      </c>
      <c r="H20" t="s">
        <v>24</v>
      </c>
      <c r="I20" t="s">
        <v>26</v>
      </c>
      <c r="J20" s="5" t="s">
        <v>26</v>
      </c>
      <c r="K20" t="s">
        <v>87</v>
      </c>
      <c r="L20" s="5" t="str">
        <f t="shared" si="12"/>
        <v>No</v>
      </c>
      <c r="M20" t="s">
        <v>62</v>
      </c>
      <c r="N20"/>
      <c r="S20" s="5">
        <f t="shared" si="9"/>
        <v>4</v>
      </c>
      <c r="T20" s="5">
        <f t="shared" si="10"/>
        <v>5</v>
      </c>
      <c r="U20" s="5">
        <f t="shared" si="11"/>
        <v>5</v>
      </c>
      <c r="V20" s="82">
        <f>IF(ISBLANK(FeedbackTracker[[#This Row],[Date]]),"",INT(FeedbackTracker[[#This Row],[Date]]-WEEKDAY(FeedbackTracker[[#This Row],[Date]],2)+1))</f>
        <v>46104</v>
      </c>
    </row>
    <row r="21" spans="1:22" ht="26.4" hidden="1" customHeight="1" x14ac:dyDescent="0.3">
      <c r="A21" s="8">
        <v>115062696710</v>
      </c>
      <c r="B21" s="4">
        <v>46100.423460648148</v>
      </c>
      <c r="C21" t="s">
        <v>22</v>
      </c>
      <c r="D21" t="s">
        <v>452</v>
      </c>
      <c r="E21" t="s">
        <v>454</v>
      </c>
      <c r="F21" t="s">
        <v>83</v>
      </c>
      <c r="G21" s="6">
        <f t="shared" si="0"/>
        <v>4.5</v>
      </c>
      <c r="H21" t="s">
        <v>24</v>
      </c>
      <c r="I21" t="s">
        <v>26</v>
      </c>
      <c r="J21" s="5" t="s">
        <v>26</v>
      </c>
      <c r="K21" t="s">
        <v>88</v>
      </c>
      <c r="L21" s="5" t="str">
        <f t="shared" si="12"/>
        <v>No</v>
      </c>
      <c r="M21" t="s">
        <v>62</v>
      </c>
      <c r="N21"/>
      <c r="S21" s="5">
        <f t="shared" si="9"/>
        <v>4</v>
      </c>
      <c r="T21" s="5">
        <f t="shared" si="10"/>
        <v>5</v>
      </c>
      <c r="U21" s="5">
        <f t="shared" si="11"/>
        <v>5</v>
      </c>
      <c r="V21" s="82">
        <f>IF(ISBLANK(FeedbackTracker[[#This Row],[Date]]),"",INT(FeedbackTracker[[#This Row],[Date]]-WEEKDAY(FeedbackTracker[[#This Row],[Date]],2)+1))</f>
        <v>46097</v>
      </c>
    </row>
    <row r="22" spans="1:22" ht="26.4" hidden="1" customHeight="1" x14ac:dyDescent="0.3">
      <c r="A22" s="8">
        <v>115061950102</v>
      </c>
      <c r="B22" s="4">
        <v>46099.527499999997</v>
      </c>
      <c r="C22" t="s">
        <v>89</v>
      </c>
      <c r="D22" t="s">
        <v>452</v>
      </c>
      <c r="E22" t="s">
        <v>453</v>
      </c>
      <c r="F22" t="s">
        <v>90</v>
      </c>
      <c r="G22" s="6">
        <f t="shared" si="0"/>
        <v>3.5</v>
      </c>
      <c r="H22" t="s">
        <v>24</v>
      </c>
      <c r="I22" t="s">
        <v>25</v>
      </c>
      <c r="J22" s="5" t="s">
        <v>26</v>
      </c>
      <c r="K22" t="s">
        <v>91</v>
      </c>
      <c r="L22" s="5" t="str">
        <f t="shared" si="12"/>
        <v>No</v>
      </c>
      <c r="M22" t="s">
        <v>62</v>
      </c>
      <c r="N22" t="s">
        <v>36</v>
      </c>
      <c r="O22" t="s">
        <v>63</v>
      </c>
      <c r="P22" s="7" t="s">
        <v>92</v>
      </c>
      <c r="S22" s="5">
        <f t="shared" si="9"/>
        <v>4</v>
      </c>
      <c r="T22" s="5">
        <f t="shared" si="10"/>
        <v>3</v>
      </c>
      <c r="U22" s="5">
        <f t="shared" si="11"/>
        <v>5</v>
      </c>
      <c r="V22" s="82">
        <f>IF(ISBLANK(FeedbackTracker[[#This Row],[Date]]),"",INT(FeedbackTracker[[#This Row],[Date]]-WEEKDAY(FeedbackTracker[[#This Row],[Date]],2)+1))</f>
        <v>46097</v>
      </c>
    </row>
    <row r="23" spans="1:22" ht="26.4" hidden="1" customHeight="1" x14ac:dyDescent="0.3">
      <c r="A23" s="8">
        <v>115060369534</v>
      </c>
      <c r="B23" s="4">
        <v>46097.433136574073</v>
      </c>
      <c r="C23" t="s">
        <v>93</v>
      </c>
      <c r="D23" t="s">
        <v>452</v>
      </c>
      <c r="E23" t="s">
        <v>453</v>
      </c>
      <c r="F23" t="s">
        <v>94</v>
      </c>
      <c r="G23" s="6">
        <f t="shared" si="0"/>
        <v>3.5</v>
      </c>
      <c r="H23" t="s">
        <v>24</v>
      </c>
      <c r="I23" t="s">
        <v>25</v>
      </c>
      <c r="J23" s="5" t="s">
        <v>26</v>
      </c>
      <c r="K23" s="7" t="s">
        <v>95</v>
      </c>
      <c r="L23" s="5" t="str">
        <f t="shared" si="12"/>
        <v>No</v>
      </c>
      <c r="M23" t="s">
        <v>62</v>
      </c>
      <c r="N23" t="s">
        <v>36</v>
      </c>
      <c r="O23" t="s">
        <v>63</v>
      </c>
      <c r="P23" s="7" t="s">
        <v>96</v>
      </c>
      <c r="S23" s="5">
        <f t="shared" si="9"/>
        <v>4</v>
      </c>
      <c r="T23" s="5">
        <f t="shared" si="10"/>
        <v>3</v>
      </c>
      <c r="U23" s="5">
        <f t="shared" si="11"/>
        <v>5</v>
      </c>
      <c r="V23" s="82">
        <f>IF(ISBLANK(FeedbackTracker[[#This Row],[Date]]),"",INT(FeedbackTracker[[#This Row],[Date]]-WEEKDAY(FeedbackTracker[[#This Row],[Date]],2)+1))</f>
        <v>46097</v>
      </c>
    </row>
    <row r="24" spans="1:22" ht="26.4" hidden="1" customHeight="1" x14ac:dyDescent="0.3">
      <c r="A24" s="8">
        <v>115058872547</v>
      </c>
      <c r="B24" s="4">
        <v>46094.684293981481</v>
      </c>
      <c r="C24" t="s">
        <v>97</v>
      </c>
      <c r="D24" t="s">
        <v>452</v>
      </c>
      <c r="E24" t="s">
        <v>454</v>
      </c>
      <c r="F24" t="s">
        <v>38</v>
      </c>
      <c r="G24" s="6">
        <f t="shared" si="0"/>
        <v>3.5</v>
      </c>
      <c r="H24" t="s">
        <v>24</v>
      </c>
      <c r="I24" t="s">
        <v>25</v>
      </c>
      <c r="J24" s="5" t="s">
        <v>34</v>
      </c>
      <c r="K24" t="s">
        <v>98</v>
      </c>
      <c r="L24" s="5" t="str">
        <f t="shared" si="12"/>
        <v>No</v>
      </c>
      <c r="M24" t="s">
        <v>62</v>
      </c>
      <c r="N24" t="s">
        <v>36</v>
      </c>
      <c r="O24" t="s">
        <v>70</v>
      </c>
      <c r="P24" s="7" t="s">
        <v>99</v>
      </c>
      <c r="S24" s="5">
        <f t="shared" si="9"/>
        <v>4</v>
      </c>
      <c r="T24" s="5">
        <f t="shared" si="10"/>
        <v>3</v>
      </c>
      <c r="U24" s="5">
        <f t="shared" si="11"/>
        <v>1</v>
      </c>
      <c r="V24" s="82">
        <f>IF(ISBLANK(FeedbackTracker[[#This Row],[Date]]),"",INT(FeedbackTracker[[#This Row],[Date]]-WEEKDAY(FeedbackTracker[[#This Row],[Date]],2)+1))</f>
        <v>46090</v>
      </c>
    </row>
    <row r="25" spans="1:22" ht="26.4" hidden="1" customHeight="1" x14ac:dyDescent="0.3">
      <c r="A25" s="8">
        <v>115056979250</v>
      </c>
      <c r="B25" s="4">
        <v>46092.427905092591</v>
      </c>
      <c r="C25" t="s">
        <v>100</v>
      </c>
      <c r="D25" t="s">
        <v>452</v>
      </c>
      <c r="E25" t="s">
        <v>455</v>
      </c>
      <c r="F25" t="s">
        <v>101</v>
      </c>
      <c r="G25" s="6">
        <f t="shared" si="0"/>
        <v>3</v>
      </c>
      <c r="H25" t="s">
        <v>42</v>
      </c>
      <c r="I25" t="s">
        <v>25</v>
      </c>
      <c r="J25" s="5" t="s">
        <v>34</v>
      </c>
      <c r="K25" s="7" t="s">
        <v>102</v>
      </c>
      <c r="L25" s="5" t="str">
        <f t="shared" si="12"/>
        <v>Yes</v>
      </c>
      <c r="N25" t="s">
        <v>36</v>
      </c>
      <c r="O25" t="s">
        <v>70</v>
      </c>
      <c r="P25" s="7" t="s">
        <v>103</v>
      </c>
      <c r="S25" s="5">
        <f t="shared" si="9"/>
        <v>3</v>
      </c>
      <c r="T25" s="5">
        <f t="shared" si="10"/>
        <v>3</v>
      </c>
      <c r="U25" s="5">
        <f t="shared" si="11"/>
        <v>1</v>
      </c>
      <c r="V25" s="82">
        <f>IF(ISBLANK(FeedbackTracker[[#This Row],[Date]]),"",INT(FeedbackTracker[[#This Row],[Date]]-WEEKDAY(FeedbackTracker[[#This Row],[Date]],2)+1))</f>
        <v>46090</v>
      </c>
    </row>
    <row r="26" spans="1:22" ht="26.4" hidden="1" customHeight="1" x14ac:dyDescent="0.3">
      <c r="A26" s="8">
        <v>115056976367</v>
      </c>
      <c r="B26" s="4">
        <v>46092.417534722219</v>
      </c>
      <c r="C26" t="s">
        <v>93</v>
      </c>
      <c r="D26" t="s">
        <v>452</v>
      </c>
      <c r="E26" t="s">
        <v>453</v>
      </c>
      <c r="F26" t="s">
        <v>94</v>
      </c>
      <c r="G26" s="6">
        <f t="shared" si="0"/>
        <v>4</v>
      </c>
      <c r="H26" t="s">
        <v>57</v>
      </c>
      <c r="I26" t="s">
        <v>25</v>
      </c>
      <c r="J26" s="5" t="s">
        <v>26</v>
      </c>
      <c r="K26" t="s">
        <v>104</v>
      </c>
      <c r="L26" s="5" t="str">
        <f t="shared" si="12"/>
        <v>No</v>
      </c>
      <c r="M26" t="s">
        <v>36</v>
      </c>
      <c r="N26" t="s">
        <v>36</v>
      </c>
      <c r="O26" t="s">
        <v>63</v>
      </c>
      <c r="P26" s="7" t="s">
        <v>105</v>
      </c>
      <c r="S26" s="5">
        <f t="shared" si="9"/>
        <v>5</v>
      </c>
      <c r="T26" s="5">
        <f t="shared" si="10"/>
        <v>3</v>
      </c>
      <c r="U26" s="5">
        <f t="shared" si="11"/>
        <v>5</v>
      </c>
      <c r="V26" s="82">
        <f>IF(ISBLANK(FeedbackTracker[[#This Row],[Date]]),"",INT(FeedbackTracker[[#This Row],[Date]]-WEEKDAY(FeedbackTracker[[#This Row],[Date]],2)+1))</f>
        <v>46090</v>
      </c>
    </row>
    <row r="27" spans="1:22" ht="26.4" hidden="1" customHeight="1" x14ac:dyDescent="0.3">
      <c r="A27" s="8">
        <v>115056975802</v>
      </c>
      <c r="B27" s="4">
        <v>46092.417013888888</v>
      </c>
      <c r="C27" t="s">
        <v>93</v>
      </c>
      <c r="D27" t="s">
        <v>452</v>
      </c>
      <c r="E27" t="s">
        <v>453</v>
      </c>
      <c r="F27" t="s">
        <v>106</v>
      </c>
      <c r="G27" s="6">
        <f t="shared" si="0"/>
        <v>1.5</v>
      </c>
      <c r="H27" t="s">
        <v>107</v>
      </c>
      <c r="I27" t="s">
        <v>34</v>
      </c>
      <c r="J27" s="5" t="s">
        <v>34</v>
      </c>
      <c r="K27" t="s">
        <v>108</v>
      </c>
      <c r="L27" s="5" t="str">
        <f t="shared" si="12"/>
        <v>Yes</v>
      </c>
      <c r="M27" t="s">
        <v>109</v>
      </c>
      <c r="N27" t="s">
        <v>36</v>
      </c>
      <c r="O27" t="s">
        <v>70</v>
      </c>
      <c r="P27" s="7" t="s">
        <v>110</v>
      </c>
      <c r="S27" s="5">
        <f t="shared" si="9"/>
        <v>2</v>
      </c>
      <c r="T27" s="5">
        <f t="shared" si="10"/>
        <v>1</v>
      </c>
      <c r="U27" s="5">
        <f t="shared" si="11"/>
        <v>1</v>
      </c>
      <c r="V27" s="82">
        <f>IF(ISBLANK(FeedbackTracker[[#This Row],[Date]]),"",INT(FeedbackTracker[[#This Row],[Date]]-WEEKDAY(FeedbackTracker[[#This Row],[Date]],2)+1))</f>
        <v>46090</v>
      </c>
    </row>
    <row r="28" spans="1:22" ht="26.4" hidden="1" customHeight="1" x14ac:dyDescent="0.3">
      <c r="A28" s="8">
        <v>115056971880</v>
      </c>
      <c r="B28" s="4">
        <v>46092.408194444448</v>
      </c>
      <c r="C28" t="s">
        <v>111</v>
      </c>
      <c r="D28" t="s">
        <v>452</v>
      </c>
      <c r="E28" t="s">
        <v>454</v>
      </c>
      <c r="F28" t="s">
        <v>112</v>
      </c>
      <c r="G28" s="6">
        <f t="shared" si="0"/>
        <v>5</v>
      </c>
      <c r="H28" t="s">
        <v>57</v>
      </c>
      <c r="I28" t="s">
        <v>26</v>
      </c>
      <c r="J28" s="5" t="s">
        <v>34</v>
      </c>
      <c r="K28" t="s">
        <v>113</v>
      </c>
      <c r="L28" s="5" t="str">
        <f t="shared" si="12"/>
        <v>No</v>
      </c>
      <c r="M28" t="s">
        <v>109</v>
      </c>
      <c r="N28"/>
      <c r="S28" s="5">
        <f t="shared" si="9"/>
        <v>5</v>
      </c>
      <c r="T28" s="5">
        <f t="shared" si="10"/>
        <v>5</v>
      </c>
      <c r="U28" s="5">
        <f t="shared" si="11"/>
        <v>1</v>
      </c>
      <c r="V28" s="82">
        <f>IF(ISBLANK(FeedbackTracker[[#This Row],[Date]]),"",INT(FeedbackTracker[[#This Row],[Date]]-WEEKDAY(FeedbackTracker[[#This Row],[Date]],2)+1))</f>
        <v>46090</v>
      </c>
    </row>
    <row r="29" spans="1:22" ht="26.4" hidden="1" customHeight="1" x14ac:dyDescent="0.3">
      <c r="A29" s="8">
        <v>115056188745</v>
      </c>
      <c r="B29" s="4">
        <v>46091.582604166666</v>
      </c>
      <c r="C29" t="s">
        <v>114</v>
      </c>
      <c r="D29" t="s">
        <v>452</v>
      </c>
      <c r="E29" t="s">
        <v>453</v>
      </c>
      <c r="F29" t="s">
        <v>115</v>
      </c>
      <c r="G29" s="6">
        <f t="shared" si="0"/>
        <v>1</v>
      </c>
      <c r="H29" t="s">
        <v>116</v>
      </c>
      <c r="I29" t="s">
        <v>34</v>
      </c>
      <c r="J29" s="5" t="s">
        <v>34</v>
      </c>
      <c r="K29" t="s">
        <v>117</v>
      </c>
      <c r="L29" s="5" t="str">
        <f t="shared" si="12"/>
        <v>Yes</v>
      </c>
      <c r="N29" s="7" t="s">
        <v>109</v>
      </c>
      <c r="P29" s="7" t="s">
        <v>118</v>
      </c>
      <c r="S29" s="5">
        <f t="shared" si="9"/>
        <v>1</v>
      </c>
      <c r="T29" s="5">
        <f t="shared" si="10"/>
        <v>1</v>
      </c>
      <c r="U29" s="5">
        <f t="shared" si="11"/>
        <v>1</v>
      </c>
      <c r="V29" s="82">
        <f>IF(ISBLANK(FeedbackTracker[[#This Row],[Date]]),"",INT(FeedbackTracker[[#This Row],[Date]]-WEEKDAY(FeedbackTracker[[#This Row],[Date]],2)+1))</f>
        <v>46090</v>
      </c>
    </row>
    <row r="30" spans="1:22" ht="26.4" hidden="1" customHeight="1" x14ac:dyDescent="0.3">
      <c r="A30" s="8">
        <v>115056187941</v>
      </c>
      <c r="B30" s="4">
        <v>46091.581979166665</v>
      </c>
      <c r="C30" s="85" t="s">
        <v>114</v>
      </c>
      <c r="D30" t="s">
        <v>452</v>
      </c>
      <c r="E30" t="s">
        <v>453</v>
      </c>
      <c r="F30" t="s">
        <v>119</v>
      </c>
      <c r="G30" s="6">
        <f t="shared" si="0"/>
        <v>3</v>
      </c>
      <c r="H30" t="s">
        <v>42</v>
      </c>
      <c r="I30" t="s">
        <v>25</v>
      </c>
      <c r="J30" s="5" t="s">
        <v>26</v>
      </c>
      <c r="K30" s="7" t="s">
        <v>120</v>
      </c>
      <c r="L30" s="5" t="str">
        <f t="shared" si="12"/>
        <v>Yes</v>
      </c>
      <c r="N30" s="7" t="s">
        <v>109</v>
      </c>
      <c r="P30" s="7" t="s">
        <v>121</v>
      </c>
      <c r="S30" s="5">
        <f t="shared" si="9"/>
        <v>3</v>
      </c>
      <c r="T30" s="5">
        <f t="shared" si="10"/>
        <v>3</v>
      </c>
      <c r="U30" s="5">
        <f t="shared" si="11"/>
        <v>5</v>
      </c>
      <c r="V30" s="82">
        <f>IF(ISBLANK(FeedbackTracker[[#This Row],[Date]]),"",INT(FeedbackTracker[[#This Row],[Date]]-WEEKDAY(FeedbackTracker[[#This Row],[Date]],2)+1))</f>
        <v>46090</v>
      </c>
    </row>
    <row r="31" spans="1:22" ht="26.4" hidden="1" customHeight="1" x14ac:dyDescent="0.3">
      <c r="A31" s="8">
        <v>115056187584</v>
      </c>
      <c r="B31" s="4">
        <v>46091.577847222223</v>
      </c>
      <c r="C31" t="s">
        <v>114</v>
      </c>
      <c r="D31" t="s">
        <v>452</v>
      </c>
      <c r="E31" t="s">
        <v>453</v>
      </c>
      <c r="F31" t="s">
        <v>30</v>
      </c>
      <c r="G31" s="6">
        <f t="shared" si="0"/>
        <v>2.5</v>
      </c>
      <c r="H31" t="s">
        <v>107</v>
      </c>
      <c r="I31" t="s">
        <v>25</v>
      </c>
      <c r="J31" s="5" t="s">
        <v>34</v>
      </c>
      <c r="K31" s="7" t="s">
        <v>122</v>
      </c>
      <c r="L31" s="5" t="str">
        <f t="shared" si="12"/>
        <v>Yes</v>
      </c>
      <c r="N31" s="7" t="s">
        <v>109</v>
      </c>
      <c r="P31" s="7" t="s">
        <v>121</v>
      </c>
      <c r="S31" s="5">
        <f t="shared" si="9"/>
        <v>2</v>
      </c>
      <c r="T31" s="5">
        <f t="shared" si="10"/>
        <v>3</v>
      </c>
      <c r="U31" s="5">
        <f t="shared" si="11"/>
        <v>1</v>
      </c>
      <c r="V31" s="82">
        <f>IF(ISBLANK(FeedbackTracker[[#This Row],[Date]]),"",INT(FeedbackTracker[[#This Row],[Date]]-WEEKDAY(FeedbackTracker[[#This Row],[Date]],2)+1))</f>
        <v>46090</v>
      </c>
    </row>
    <row r="32" spans="1:22" ht="26.4" hidden="1" customHeight="1" x14ac:dyDescent="0.3">
      <c r="A32" s="8">
        <v>115056185661</v>
      </c>
      <c r="B32" s="4">
        <v>46091.576805555553</v>
      </c>
      <c r="C32" t="s">
        <v>114</v>
      </c>
      <c r="D32" t="s">
        <v>452</v>
      </c>
      <c r="E32" t="s">
        <v>453</v>
      </c>
      <c r="F32" t="s">
        <v>123</v>
      </c>
      <c r="G32" s="6">
        <f t="shared" si="0"/>
        <v>5</v>
      </c>
      <c r="H32" t="s">
        <v>57</v>
      </c>
      <c r="I32" t="s">
        <v>26</v>
      </c>
      <c r="J32" s="5" t="s">
        <v>34</v>
      </c>
      <c r="K32" t="s">
        <v>124</v>
      </c>
      <c r="L32" s="5" t="str">
        <f t="shared" si="12"/>
        <v>No</v>
      </c>
      <c r="N32"/>
      <c r="S32" s="5">
        <f t="shared" si="9"/>
        <v>5</v>
      </c>
      <c r="T32" s="5">
        <f t="shared" si="10"/>
        <v>5</v>
      </c>
      <c r="U32" s="5">
        <f t="shared" si="11"/>
        <v>1</v>
      </c>
      <c r="V32" s="82">
        <f>IF(ISBLANK(FeedbackTracker[[#This Row],[Date]]),"",INT(FeedbackTracker[[#This Row],[Date]]-WEEKDAY(FeedbackTracker[[#This Row],[Date]],2)+1))</f>
        <v>46090</v>
      </c>
    </row>
    <row r="33" spans="1:22" ht="26.4" hidden="1" customHeight="1" x14ac:dyDescent="0.3">
      <c r="A33" s="8">
        <v>115042914743</v>
      </c>
      <c r="B33" s="4">
        <v>46071.392627314817</v>
      </c>
      <c r="C33" t="s">
        <v>125</v>
      </c>
      <c r="D33" t="s">
        <v>452</v>
      </c>
      <c r="E33" t="s">
        <v>453</v>
      </c>
      <c r="F33" t="s">
        <v>38</v>
      </c>
      <c r="G33" s="6">
        <f t="shared" si="0"/>
        <v>4.5</v>
      </c>
      <c r="H33" t="s">
        <v>24</v>
      </c>
      <c r="I33" t="s">
        <v>26</v>
      </c>
      <c r="J33" s="5" t="s">
        <v>34</v>
      </c>
      <c r="K33" t="s">
        <v>126</v>
      </c>
      <c r="L33" s="5" t="str">
        <f t="shared" si="12"/>
        <v>No</v>
      </c>
      <c r="M33" t="s">
        <v>62</v>
      </c>
      <c r="N33"/>
      <c r="S33" s="5">
        <f t="shared" si="9"/>
        <v>4</v>
      </c>
      <c r="T33" s="5">
        <f t="shared" si="10"/>
        <v>5</v>
      </c>
      <c r="U33" s="5">
        <f t="shared" si="11"/>
        <v>1</v>
      </c>
      <c r="V33" s="82">
        <f>IF(ISBLANK(FeedbackTracker[[#This Row],[Date]]),"",INT(FeedbackTracker[[#This Row],[Date]]-WEEKDAY(FeedbackTracker[[#This Row],[Date]],2)+1))</f>
        <v>46069</v>
      </c>
    </row>
    <row r="34" spans="1:22" ht="26.4" hidden="1" customHeight="1" x14ac:dyDescent="0.3">
      <c r="A34" s="8">
        <v>115042911097</v>
      </c>
      <c r="B34" s="4">
        <v>46071.40730324074</v>
      </c>
      <c r="C34" t="s">
        <v>127</v>
      </c>
      <c r="D34" t="s">
        <v>457</v>
      </c>
      <c r="E34" t="s">
        <v>454</v>
      </c>
      <c r="F34" t="s">
        <v>119</v>
      </c>
      <c r="G34" s="6">
        <f t="shared" ref="G34:G64" si="13">AVERAGE(S34:T34)</f>
        <v>4.5</v>
      </c>
      <c r="H34" t="s">
        <v>24</v>
      </c>
      <c r="I34" t="s">
        <v>26</v>
      </c>
      <c r="J34" s="5" t="s">
        <v>34</v>
      </c>
      <c r="K34" t="s">
        <v>128</v>
      </c>
      <c r="L34" s="5" t="str">
        <f t="shared" si="12"/>
        <v>No</v>
      </c>
      <c r="N34"/>
      <c r="S34" s="5">
        <f t="shared" si="9"/>
        <v>4</v>
      </c>
      <c r="T34" s="5">
        <f t="shared" si="10"/>
        <v>5</v>
      </c>
      <c r="U34" s="5">
        <f t="shared" si="11"/>
        <v>1</v>
      </c>
      <c r="V34" s="82">
        <f>IF(ISBLANK(FeedbackTracker[[#This Row],[Date]]),"",INT(FeedbackTracker[[#This Row],[Date]]-WEEKDAY(FeedbackTracker[[#This Row],[Date]],2)+1))</f>
        <v>46069</v>
      </c>
    </row>
    <row r="35" spans="1:22" ht="26.4" hidden="1" customHeight="1" x14ac:dyDescent="0.3">
      <c r="A35" s="8">
        <v>115042909248</v>
      </c>
      <c r="B35" s="4">
        <v>46071.392511574071</v>
      </c>
      <c r="C35" t="s">
        <v>129</v>
      </c>
      <c r="D35" t="s">
        <v>457</v>
      </c>
      <c r="E35" t="s">
        <v>454</v>
      </c>
      <c r="F35" t="s">
        <v>38</v>
      </c>
      <c r="G35" s="6">
        <f t="shared" si="13"/>
        <v>2.5</v>
      </c>
      <c r="H35" t="s">
        <v>107</v>
      </c>
      <c r="I35" t="s">
        <v>25</v>
      </c>
      <c r="J35" s="5" t="s">
        <v>34</v>
      </c>
      <c r="K35" t="s">
        <v>130</v>
      </c>
      <c r="L35" s="5" t="str">
        <f t="shared" si="12"/>
        <v>Yes</v>
      </c>
      <c r="N35" t="s">
        <v>36</v>
      </c>
      <c r="O35" t="s">
        <v>70</v>
      </c>
      <c r="P35" s="7" t="s">
        <v>131</v>
      </c>
      <c r="S35" s="5">
        <f t="shared" si="9"/>
        <v>2</v>
      </c>
      <c r="T35" s="5">
        <f t="shared" si="10"/>
        <v>3</v>
      </c>
      <c r="U35" s="5">
        <f t="shared" si="11"/>
        <v>1</v>
      </c>
      <c r="V35" s="82">
        <f>IF(ISBLANK(FeedbackTracker[[#This Row],[Date]]),"",INT(FeedbackTracker[[#This Row],[Date]]-WEEKDAY(FeedbackTracker[[#This Row],[Date]],2)+1))</f>
        <v>46069</v>
      </c>
    </row>
    <row r="36" spans="1:22" ht="26.4" hidden="1" customHeight="1" x14ac:dyDescent="0.3">
      <c r="A36" s="8">
        <v>115042335711</v>
      </c>
      <c r="B36" s="4">
        <v>46070.74082175926</v>
      </c>
      <c r="C36" t="s">
        <v>132</v>
      </c>
      <c r="D36" t="s">
        <v>457</v>
      </c>
      <c r="E36" t="s">
        <v>455</v>
      </c>
      <c r="F36" t="s">
        <v>133</v>
      </c>
      <c r="G36" s="6">
        <f t="shared" si="13"/>
        <v>4.5</v>
      </c>
      <c r="H36" t="s">
        <v>24</v>
      </c>
      <c r="I36" t="s">
        <v>26</v>
      </c>
      <c r="J36" s="5" t="s">
        <v>34</v>
      </c>
      <c r="L36" s="5" t="str">
        <f t="shared" si="12"/>
        <v>No</v>
      </c>
      <c r="N36"/>
      <c r="S36" s="5">
        <f t="shared" si="9"/>
        <v>4</v>
      </c>
      <c r="T36" s="5">
        <f t="shared" si="10"/>
        <v>5</v>
      </c>
      <c r="U36" s="5">
        <f t="shared" si="11"/>
        <v>1</v>
      </c>
      <c r="V36" s="82">
        <f>IF(ISBLANK(FeedbackTracker[[#This Row],[Date]]),"",INT(FeedbackTracker[[#This Row],[Date]]-WEEKDAY(FeedbackTracker[[#This Row],[Date]],2)+1))</f>
        <v>46069</v>
      </c>
    </row>
    <row r="37" spans="1:22" ht="26.4" hidden="1" customHeight="1" x14ac:dyDescent="0.3">
      <c r="A37" s="8">
        <v>115042305484</v>
      </c>
      <c r="B37" s="4">
        <v>46070.690694444442</v>
      </c>
      <c r="C37" t="s">
        <v>134</v>
      </c>
      <c r="D37" t="s">
        <v>457</v>
      </c>
      <c r="E37" t="s">
        <v>455</v>
      </c>
      <c r="F37" t="s">
        <v>68</v>
      </c>
      <c r="G37" s="6">
        <f t="shared" si="13"/>
        <v>4.5</v>
      </c>
      <c r="H37" t="s">
        <v>24</v>
      </c>
      <c r="I37" t="s">
        <v>26</v>
      </c>
      <c r="J37" s="5" t="s">
        <v>34</v>
      </c>
      <c r="K37" s="7" t="s">
        <v>135</v>
      </c>
      <c r="L37" s="5" t="str">
        <f t="shared" si="12"/>
        <v>No</v>
      </c>
      <c r="N37"/>
      <c r="S37" s="5">
        <f t="shared" si="9"/>
        <v>4</v>
      </c>
      <c r="T37" s="5">
        <f t="shared" si="10"/>
        <v>5</v>
      </c>
      <c r="U37" s="5">
        <f t="shared" si="11"/>
        <v>1</v>
      </c>
      <c r="V37" s="82">
        <f>IF(ISBLANK(FeedbackTracker[[#This Row],[Date]]),"",INT(FeedbackTracker[[#This Row],[Date]]-WEEKDAY(FeedbackTracker[[#This Row],[Date]],2)+1))</f>
        <v>46069</v>
      </c>
    </row>
    <row r="38" spans="1:22" ht="26.4" hidden="1" customHeight="1" x14ac:dyDescent="0.3">
      <c r="A38" s="8">
        <v>115042304010</v>
      </c>
      <c r="B38" s="4">
        <v>46070.686238425929</v>
      </c>
      <c r="C38" t="s">
        <v>136</v>
      </c>
      <c r="D38" t="s">
        <v>457</v>
      </c>
      <c r="E38" t="s">
        <v>455</v>
      </c>
      <c r="F38" t="s">
        <v>137</v>
      </c>
      <c r="G38" s="6">
        <f t="shared" si="13"/>
        <v>4.5</v>
      </c>
      <c r="H38" t="s">
        <v>24</v>
      </c>
      <c r="I38" t="s">
        <v>26</v>
      </c>
      <c r="J38" s="5" t="s">
        <v>34</v>
      </c>
      <c r="K38" t="s">
        <v>138</v>
      </c>
      <c r="L38" s="5" t="str">
        <f t="shared" si="12"/>
        <v>No</v>
      </c>
      <c r="N38"/>
      <c r="S38" s="5">
        <f t="shared" si="9"/>
        <v>4</v>
      </c>
      <c r="T38" s="5">
        <f t="shared" si="10"/>
        <v>5</v>
      </c>
      <c r="U38" s="5">
        <f t="shared" si="11"/>
        <v>1</v>
      </c>
      <c r="V38" s="82">
        <f>IF(ISBLANK(FeedbackTracker[[#This Row],[Date]]),"",INT(FeedbackTracker[[#This Row],[Date]]-WEEKDAY(FeedbackTracker[[#This Row],[Date]],2)+1))</f>
        <v>46069</v>
      </c>
    </row>
    <row r="39" spans="1:22" ht="26.4" hidden="1" customHeight="1" x14ac:dyDescent="0.3">
      <c r="A39" s="8">
        <v>115039714773</v>
      </c>
      <c r="B39" s="4">
        <v>46065.825856481482</v>
      </c>
      <c r="C39" t="s">
        <v>59</v>
      </c>
      <c r="D39" t="s">
        <v>452</v>
      </c>
      <c r="E39" t="s">
        <v>455</v>
      </c>
      <c r="F39" t="s">
        <v>38</v>
      </c>
      <c r="G39" s="6">
        <f t="shared" si="13"/>
        <v>5</v>
      </c>
      <c r="H39" t="s">
        <v>57</v>
      </c>
      <c r="I39" t="s">
        <v>26</v>
      </c>
      <c r="J39" s="5" t="s">
        <v>34</v>
      </c>
      <c r="K39" t="s">
        <v>139</v>
      </c>
      <c r="L39" s="5" t="str">
        <f t="shared" si="12"/>
        <v>No</v>
      </c>
      <c r="N39"/>
      <c r="S39" s="5">
        <f t="shared" si="9"/>
        <v>5</v>
      </c>
      <c r="T39" s="5">
        <f t="shared" si="10"/>
        <v>5</v>
      </c>
      <c r="U39" s="5">
        <f t="shared" si="11"/>
        <v>1</v>
      </c>
      <c r="V39" s="82">
        <f>IF(ISBLANK(FeedbackTracker[[#This Row],[Date]]),"",INT(FeedbackTracker[[#This Row],[Date]]-WEEKDAY(FeedbackTracker[[#This Row],[Date]],2)+1))</f>
        <v>46062</v>
      </c>
    </row>
    <row r="40" spans="1:22" ht="26.4" hidden="1" customHeight="1" x14ac:dyDescent="0.3">
      <c r="A40" s="8">
        <v>115034932805</v>
      </c>
      <c r="B40" s="4">
        <v>46058.500289351854</v>
      </c>
      <c r="C40" t="s">
        <v>45</v>
      </c>
      <c r="D40" t="s">
        <v>452</v>
      </c>
      <c r="E40" t="s">
        <v>454</v>
      </c>
      <c r="F40" t="s">
        <v>140</v>
      </c>
      <c r="G40" s="6">
        <f t="shared" si="13"/>
        <v>4.5</v>
      </c>
      <c r="H40" t="s">
        <v>24</v>
      </c>
      <c r="I40" t="s">
        <v>26</v>
      </c>
      <c r="J40" s="5" t="s">
        <v>34</v>
      </c>
      <c r="L40" s="5" t="str">
        <f t="shared" si="12"/>
        <v>No</v>
      </c>
      <c r="M40" t="s">
        <v>62</v>
      </c>
      <c r="N40"/>
      <c r="S40" s="5">
        <f t="shared" si="9"/>
        <v>4</v>
      </c>
      <c r="T40" s="5">
        <f t="shared" si="10"/>
        <v>5</v>
      </c>
      <c r="U40" s="5">
        <f t="shared" si="11"/>
        <v>1</v>
      </c>
      <c r="V40" s="82">
        <f>IF(ISBLANK(FeedbackTracker[[#This Row],[Date]]),"",INT(FeedbackTracker[[#This Row],[Date]]-WEEKDAY(FeedbackTracker[[#This Row],[Date]],2)+1))</f>
        <v>46055</v>
      </c>
    </row>
    <row r="41" spans="1:22" ht="26.4" hidden="1" customHeight="1" x14ac:dyDescent="0.3">
      <c r="A41" s="8">
        <v>115034142437</v>
      </c>
      <c r="B41" s="4">
        <v>46057.454062500001</v>
      </c>
      <c r="C41" t="s">
        <v>141</v>
      </c>
      <c r="D41" t="s">
        <v>457</v>
      </c>
      <c r="E41" t="s">
        <v>455</v>
      </c>
      <c r="F41" t="s">
        <v>38</v>
      </c>
      <c r="G41" s="6">
        <f t="shared" si="13"/>
        <v>5</v>
      </c>
      <c r="H41" t="s">
        <v>57</v>
      </c>
      <c r="I41" t="s">
        <v>26</v>
      </c>
      <c r="J41" s="5" t="s">
        <v>26</v>
      </c>
      <c r="K41" t="s">
        <v>142</v>
      </c>
      <c r="L41" s="5" t="str">
        <f t="shared" si="12"/>
        <v>No</v>
      </c>
      <c r="N41"/>
      <c r="S41" s="5">
        <f t="shared" ref="S41:S69" si="14">IF(H41="Extremely useful",5,IF(H41="Very useful",4,IF(H41="Moderately useful",3,IF(H41="Slightly useful",2,IF(H41="Not useful",1)))))</f>
        <v>5</v>
      </c>
      <c r="T41" s="5">
        <f t="shared" ref="T41:T69" si="15">IF(I41="Yes",5,IF(I41="Partly",3,IF(I41="No",1)))</f>
        <v>5</v>
      </c>
      <c r="U41" s="5">
        <f t="shared" ref="U41:U69" si="16">IF(J41="Yes",5,IF(J41="No",1))</f>
        <v>5</v>
      </c>
      <c r="V41" s="82">
        <f>IF(ISBLANK(FeedbackTracker[[#This Row],[Date]]),"",INT(FeedbackTracker[[#This Row],[Date]]-WEEKDAY(FeedbackTracker[[#This Row],[Date]],2)+1))</f>
        <v>46055</v>
      </c>
    </row>
    <row r="42" spans="1:22" ht="26.4" hidden="1" customHeight="1" x14ac:dyDescent="0.3">
      <c r="A42" s="8">
        <v>115033423062</v>
      </c>
      <c r="B42" s="4">
        <v>46056.495150462964</v>
      </c>
      <c r="C42" t="s">
        <v>143</v>
      </c>
      <c r="D42" t="s">
        <v>452</v>
      </c>
      <c r="E42" t="s">
        <v>455</v>
      </c>
      <c r="F42" t="s">
        <v>144</v>
      </c>
      <c r="G42" s="6">
        <f t="shared" si="13"/>
        <v>4.5</v>
      </c>
      <c r="H42" t="s">
        <v>24</v>
      </c>
      <c r="I42" t="s">
        <v>26</v>
      </c>
      <c r="J42" s="5" t="s">
        <v>34</v>
      </c>
      <c r="K42" t="s">
        <v>145</v>
      </c>
      <c r="L42" s="5" t="str">
        <f t="shared" si="12"/>
        <v>No</v>
      </c>
      <c r="N42"/>
      <c r="S42" s="5">
        <f t="shared" si="14"/>
        <v>4</v>
      </c>
      <c r="T42" s="5">
        <f t="shared" si="15"/>
        <v>5</v>
      </c>
      <c r="U42" s="5">
        <f t="shared" si="16"/>
        <v>1</v>
      </c>
      <c r="V42" s="82">
        <f>IF(ISBLANK(FeedbackTracker[[#This Row],[Date]]),"",INT(FeedbackTracker[[#This Row],[Date]]-WEEKDAY(FeedbackTracker[[#This Row],[Date]],2)+1))</f>
        <v>46055</v>
      </c>
    </row>
    <row r="43" spans="1:22" ht="26.4" hidden="1" customHeight="1" x14ac:dyDescent="0.3">
      <c r="A43" s="8">
        <v>115029762864</v>
      </c>
      <c r="B43" s="4">
        <v>46050.602569444447</v>
      </c>
      <c r="C43" t="s">
        <v>100</v>
      </c>
      <c r="D43" t="s">
        <v>452</v>
      </c>
      <c r="E43" t="s">
        <v>455</v>
      </c>
      <c r="F43" t="s">
        <v>30</v>
      </c>
      <c r="G43" s="6">
        <f t="shared" si="13"/>
        <v>4.5</v>
      </c>
      <c r="H43" t="s">
        <v>24</v>
      </c>
      <c r="I43" t="s">
        <v>26</v>
      </c>
      <c r="J43" s="5" t="s">
        <v>34</v>
      </c>
      <c r="K43" t="s">
        <v>146</v>
      </c>
      <c r="L43" s="5" t="str">
        <f t="shared" si="12"/>
        <v>No</v>
      </c>
      <c r="N43"/>
      <c r="S43" s="5">
        <f t="shared" si="14"/>
        <v>4</v>
      </c>
      <c r="T43" s="5">
        <f t="shared" si="15"/>
        <v>5</v>
      </c>
      <c r="U43" s="5">
        <f t="shared" si="16"/>
        <v>1</v>
      </c>
      <c r="V43" s="82">
        <f>IF(ISBLANK(FeedbackTracker[[#This Row],[Date]]),"",INT(FeedbackTracker[[#This Row],[Date]]-WEEKDAY(FeedbackTracker[[#This Row],[Date]],2)+1))</f>
        <v>46048</v>
      </c>
    </row>
    <row r="44" spans="1:22" ht="26.4" hidden="1" customHeight="1" x14ac:dyDescent="0.3">
      <c r="A44" s="8">
        <v>115029759318</v>
      </c>
      <c r="B44" s="4">
        <v>46050.597442129627</v>
      </c>
      <c r="C44" t="s">
        <v>59</v>
      </c>
      <c r="D44" t="s">
        <v>452</v>
      </c>
      <c r="E44" t="s">
        <v>455</v>
      </c>
      <c r="F44" t="s">
        <v>147</v>
      </c>
      <c r="G44" s="6">
        <f t="shared" si="13"/>
        <v>4.5</v>
      </c>
      <c r="H44" t="s">
        <v>24</v>
      </c>
      <c r="I44" t="s">
        <v>26</v>
      </c>
      <c r="J44" s="5" t="s">
        <v>34</v>
      </c>
      <c r="K44" t="s">
        <v>148</v>
      </c>
      <c r="L44" s="5" t="str">
        <f t="shared" si="12"/>
        <v>No</v>
      </c>
      <c r="N44"/>
      <c r="S44" s="5">
        <f t="shared" si="14"/>
        <v>4</v>
      </c>
      <c r="T44" s="5">
        <f t="shared" si="15"/>
        <v>5</v>
      </c>
      <c r="U44" s="5">
        <f t="shared" si="16"/>
        <v>1</v>
      </c>
      <c r="V44" s="82">
        <f>IF(ISBLANK(FeedbackTracker[[#This Row],[Date]]),"",INT(FeedbackTracker[[#This Row],[Date]]-WEEKDAY(FeedbackTracker[[#This Row],[Date]],2)+1))</f>
        <v>46048</v>
      </c>
    </row>
    <row r="45" spans="1:22" ht="26.4" hidden="1" customHeight="1" x14ac:dyDescent="0.3">
      <c r="A45" s="8">
        <v>115029736543</v>
      </c>
      <c r="B45" s="4">
        <v>46050.547002314815</v>
      </c>
      <c r="C45" t="s">
        <v>55</v>
      </c>
      <c r="D45" t="s">
        <v>452</v>
      </c>
      <c r="E45" t="s">
        <v>453</v>
      </c>
      <c r="F45" t="s">
        <v>149</v>
      </c>
      <c r="G45" s="6">
        <f t="shared" si="13"/>
        <v>5</v>
      </c>
      <c r="H45" t="s">
        <v>57</v>
      </c>
      <c r="I45" t="s">
        <v>26</v>
      </c>
      <c r="J45" s="5" t="s">
        <v>34</v>
      </c>
      <c r="K45" t="s">
        <v>150</v>
      </c>
      <c r="L45" s="5" t="str">
        <f t="shared" si="12"/>
        <v>No</v>
      </c>
      <c r="N45"/>
      <c r="S45" s="5">
        <f t="shared" si="14"/>
        <v>5</v>
      </c>
      <c r="T45" s="5">
        <f t="shared" si="15"/>
        <v>5</v>
      </c>
      <c r="U45" s="5">
        <f t="shared" si="16"/>
        <v>1</v>
      </c>
      <c r="V45" s="82">
        <f>IF(ISBLANK(FeedbackTracker[[#This Row],[Date]]),"",INT(FeedbackTracker[[#This Row],[Date]]-WEEKDAY(FeedbackTracker[[#This Row],[Date]],2)+1))</f>
        <v>46048</v>
      </c>
    </row>
    <row r="46" spans="1:22" ht="26.4" hidden="1" customHeight="1" x14ac:dyDescent="0.3">
      <c r="A46" s="8">
        <v>115029735861</v>
      </c>
      <c r="B46" s="4">
        <v>46050.539594907408</v>
      </c>
      <c r="C46" t="s">
        <v>151</v>
      </c>
      <c r="D46" t="s">
        <v>457</v>
      </c>
      <c r="E46" t="s">
        <v>455</v>
      </c>
      <c r="F46" t="s">
        <v>152</v>
      </c>
      <c r="G46" s="6">
        <f t="shared" si="13"/>
        <v>4.5</v>
      </c>
      <c r="H46" t="s">
        <v>24</v>
      </c>
      <c r="I46" t="s">
        <v>26</v>
      </c>
      <c r="J46" s="5" t="s">
        <v>34</v>
      </c>
      <c r="K46" t="s">
        <v>153</v>
      </c>
      <c r="L46" s="5" t="str">
        <f t="shared" si="12"/>
        <v>No</v>
      </c>
      <c r="N46"/>
      <c r="S46" s="5">
        <f t="shared" si="14"/>
        <v>4</v>
      </c>
      <c r="T46" s="5">
        <f t="shared" si="15"/>
        <v>5</v>
      </c>
      <c r="U46" s="5">
        <f t="shared" si="16"/>
        <v>1</v>
      </c>
      <c r="V46" s="82">
        <f>IF(ISBLANK(FeedbackTracker[[#This Row],[Date]]),"",INT(FeedbackTracker[[#This Row],[Date]]-WEEKDAY(FeedbackTracker[[#This Row],[Date]],2)+1))</f>
        <v>46048</v>
      </c>
    </row>
    <row r="47" spans="1:22" ht="26.4" hidden="1" customHeight="1" x14ac:dyDescent="0.3">
      <c r="A47" s="8">
        <v>115029732350</v>
      </c>
      <c r="B47" s="4">
        <v>46050.537662037037</v>
      </c>
      <c r="C47" t="s">
        <v>151</v>
      </c>
      <c r="D47" t="s">
        <v>457</v>
      </c>
      <c r="E47" t="s">
        <v>455</v>
      </c>
      <c r="F47" t="s">
        <v>154</v>
      </c>
      <c r="G47" s="6">
        <f t="shared" si="13"/>
        <v>4.5</v>
      </c>
      <c r="H47" t="s">
        <v>24</v>
      </c>
      <c r="I47" t="s">
        <v>26</v>
      </c>
      <c r="J47" s="5" t="s">
        <v>34</v>
      </c>
      <c r="K47" t="s">
        <v>155</v>
      </c>
      <c r="L47" s="5" t="str">
        <f t="shared" si="12"/>
        <v>No</v>
      </c>
      <c r="N47"/>
      <c r="S47" s="5">
        <f t="shared" si="14"/>
        <v>4</v>
      </c>
      <c r="T47" s="5">
        <f t="shared" si="15"/>
        <v>5</v>
      </c>
      <c r="U47" s="5">
        <f t="shared" si="16"/>
        <v>1</v>
      </c>
      <c r="V47" s="82">
        <f>IF(ISBLANK(FeedbackTracker[[#This Row],[Date]]),"",INT(FeedbackTracker[[#This Row],[Date]]-WEEKDAY(FeedbackTracker[[#This Row],[Date]],2)+1))</f>
        <v>46048</v>
      </c>
    </row>
    <row r="48" spans="1:22" ht="26.4" hidden="1" customHeight="1" x14ac:dyDescent="0.3">
      <c r="A48" s="8">
        <v>115029727801</v>
      </c>
      <c r="B48" s="4">
        <v>46050.488738425927</v>
      </c>
      <c r="C48" t="s">
        <v>156</v>
      </c>
      <c r="D48" t="s">
        <v>452</v>
      </c>
      <c r="E48" t="s">
        <v>458</v>
      </c>
      <c r="F48" t="s">
        <v>157</v>
      </c>
      <c r="G48" s="6">
        <f t="shared" si="13"/>
        <v>4.5</v>
      </c>
      <c r="H48" t="s">
        <v>24</v>
      </c>
      <c r="I48" t="s">
        <v>26</v>
      </c>
      <c r="J48" s="5" t="s">
        <v>34</v>
      </c>
      <c r="K48" t="s">
        <v>158</v>
      </c>
      <c r="L48" s="5" t="str">
        <f t="shared" ref="L48:L69" si="17">IF(G48&lt;=3,"Yes","No")</f>
        <v>No</v>
      </c>
      <c r="N48"/>
      <c r="S48" s="5">
        <f t="shared" si="14"/>
        <v>4</v>
      </c>
      <c r="T48" s="5">
        <f t="shared" si="15"/>
        <v>5</v>
      </c>
      <c r="U48" s="5">
        <f t="shared" si="16"/>
        <v>1</v>
      </c>
      <c r="V48" s="82">
        <f>IF(ISBLANK(FeedbackTracker[[#This Row],[Date]]),"",INT(FeedbackTracker[[#This Row],[Date]]-WEEKDAY(FeedbackTracker[[#This Row],[Date]],2)+1))</f>
        <v>46048</v>
      </c>
    </row>
    <row r="49" spans="1:22" ht="26.4" hidden="1" customHeight="1" x14ac:dyDescent="0.3">
      <c r="A49" s="8">
        <v>115029724214</v>
      </c>
      <c r="B49" s="4">
        <v>46050.518831018519</v>
      </c>
      <c r="C49" t="s">
        <v>132</v>
      </c>
      <c r="D49" t="s">
        <v>457</v>
      </c>
      <c r="E49" t="s">
        <v>455</v>
      </c>
      <c r="F49" t="s">
        <v>38</v>
      </c>
      <c r="G49" s="6">
        <f t="shared" si="13"/>
        <v>4.5</v>
      </c>
      <c r="H49" t="s">
        <v>24</v>
      </c>
      <c r="I49" t="s">
        <v>26</v>
      </c>
      <c r="J49" s="5" t="s">
        <v>34</v>
      </c>
      <c r="K49" t="s">
        <v>159</v>
      </c>
      <c r="L49" s="5" t="str">
        <f t="shared" si="17"/>
        <v>No</v>
      </c>
      <c r="M49" t="s">
        <v>62</v>
      </c>
      <c r="N49"/>
      <c r="S49" s="5">
        <f t="shared" si="14"/>
        <v>4</v>
      </c>
      <c r="T49" s="5">
        <f t="shared" si="15"/>
        <v>5</v>
      </c>
      <c r="U49" s="5">
        <f t="shared" si="16"/>
        <v>1</v>
      </c>
      <c r="V49" s="82">
        <f>IF(ISBLANK(FeedbackTracker[[#This Row],[Date]]),"",INT(FeedbackTracker[[#This Row],[Date]]-WEEKDAY(FeedbackTracker[[#This Row],[Date]],2)+1))</f>
        <v>46048</v>
      </c>
    </row>
    <row r="50" spans="1:22" ht="26.4" hidden="1" customHeight="1" x14ac:dyDescent="0.3">
      <c r="A50" s="8">
        <v>115029714292</v>
      </c>
      <c r="B50" s="4">
        <v>46050.474722222221</v>
      </c>
      <c r="C50" t="s">
        <v>156</v>
      </c>
      <c r="D50" t="s">
        <v>452</v>
      </c>
      <c r="E50" t="s">
        <v>458</v>
      </c>
      <c r="F50" t="s">
        <v>160</v>
      </c>
      <c r="G50" s="6">
        <f t="shared" si="13"/>
        <v>4.5</v>
      </c>
      <c r="H50" t="s">
        <v>24</v>
      </c>
      <c r="I50" t="s">
        <v>26</v>
      </c>
      <c r="J50" s="5" t="s">
        <v>34</v>
      </c>
      <c r="K50" t="s">
        <v>161</v>
      </c>
      <c r="L50" s="5" t="str">
        <f t="shared" si="17"/>
        <v>No</v>
      </c>
      <c r="N50"/>
      <c r="S50" s="5">
        <f t="shared" si="14"/>
        <v>4</v>
      </c>
      <c r="T50" s="5">
        <f t="shared" si="15"/>
        <v>5</v>
      </c>
      <c r="U50" s="5">
        <f t="shared" si="16"/>
        <v>1</v>
      </c>
      <c r="V50" s="82">
        <f>IF(ISBLANK(FeedbackTracker[[#This Row],[Date]]),"",INT(FeedbackTracker[[#This Row],[Date]]-WEEKDAY(FeedbackTracker[[#This Row],[Date]],2)+1))</f>
        <v>46048</v>
      </c>
    </row>
    <row r="51" spans="1:22" ht="26.4" hidden="1" customHeight="1" x14ac:dyDescent="0.3">
      <c r="A51" s="8">
        <v>115029714002</v>
      </c>
      <c r="B51" s="4">
        <v>46050.491770833331</v>
      </c>
      <c r="C51" t="s">
        <v>162</v>
      </c>
      <c r="D51" t="s">
        <v>452</v>
      </c>
      <c r="E51" t="s">
        <v>453</v>
      </c>
      <c r="F51" t="s">
        <v>163</v>
      </c>
      <c r="G51" s="6">
        <f t="shared" si="13"/>
        <v>4.5</v>
      </c>
      <c r="H51" t="s">
        <v>24</v>
      </c>
      <c r="I51" t="s">
        <v>26</v>
      </c>
      <c r="J51" s="5" t="s">
        <v>34</v>
      </c>
      <c r="K51" t="s">
        <v>164</v>
      </c>
      <c r="L51" s="5" t="str">
        <f t="shared" si="17"/>
        <v>No</v>
      </c>
      <c r="M51" t="s">
        <v>62</v>
      </c>
      <c r="N51"/>
      <c r="S51" s="5">
        <f t="shared" si="14"/>
        <v>4</v>
      </c>
      <c r="T51" s="5">
        <f t="shared" si="15"/>
        <v>5</v>
      </c>
      <c r="U51" s="5">
        <f t="shared" si="16"/>
        <v>1</v>
      </c>
      <c r="V51" s="82">
        <f>IF(ISBLANK(FeedbackTracker[[#This Row],[Date]]),"",INT(FeedbackTracker[[#This Row],[Date]]-WEEKDAY(FeedbackTracker[[#This Row],[Date]],2)+1))</f>
        <v>46048</v>
      </c>
    </row>
    <row r="52" spans="1:22" ht="26.4" hidden="1" customHeight="1" x14ac:dyDescent="0.3">
      <c r="A52" s="8">
        <v>115029706380</v>
      </c>
      <c r="B52" s="4">
        <v>46050.466597222221</v>
      </c>
      <c r="C52" t="s">
        <v>165</v>
      </c>
      <c r="D52" t="s">
        <v>457</v>
      </c>
      <c r="E52" t="s">
        <v>454</v>
      </c>
      <c r="F52" t="s">
        <v>166</v>
      </c>
      <c r="G52" s="6">
        <f t="shared" si="13"/>
        <v>3.5</v>
      </c>
      <c r="H52" t="s">
        <v>24</v>
      </c>
      <c r="I52" t="s">
        <v>25</v>
      </c>
      <c r="J52" s="5" t="s">
        <v>26</v>
      </c>
      <c r="K52" t="s">
        <v>167</v>
      </c>
      <c r="L52" s="5" t="str">
        <f t="shared" si="17"/>
        <v>No</v>
      </c>
      <c r="N52" t="s">
        <v>36</v>
      </c>
      <c r="O52" t="s">
        <v>63</v>
      </c>
      <c r="P52" s="7" t="s">
        <v>168</v>
      </c>
      <c r="S52" s="5">
        <f t="shared" si="14"/>
        <v>4</v>
      </c>
      <c r="T52" s="5">
        <f t="shared" si="15"/>
        <v>3</v>
      </c>
      <c r="U52" s="5">
        <f t="shared" si="16"/>
        <v>5</v>
      </c>
      <c r="V52" s="82">
        <f>IF(ISBLANK(FeedbackTracker[[#This Row],[Date]]),"",INT(FeedbackTracker[[#This Row],[Date]]-WEEKDAY(FeedbackTracker[[#This Row],[Date]],2)+1))</f>
        <v>46048</v>
      </c>
    </row>
    <row r="53" spans="1:22" ht="26.4" hidden="1" customHeight="1" x14ac:dyDescent="0.3">
      <c r="A53" s="8">
        <v>115029703375</v>
      </c>
      <c r="B53" s="4">
        <v>46050.45894675926</v>
      </c>
      <c r="C53" t="s">
        <v>134</v>
      </c>
      <c r="D53" t="s">
        <v>457</v>
      </c>
      <c r="E53" t="s">
        <v>455</v>
      </c>
      <c r="F53" t="s">
        <v>38</v>
      </c>
      <c r="G53" s="6">
        <f t="shared" si="13"/>
        <v>5</v>
      </c>
      <c r="H53" t="s">
        <v>57</v>
      </c>
      <c r="I53" t="s">
        <v>26</v>
      </c>
      <c r="J53" s="5" t="s">
        <v>34</v>
      </c>
      <c r="K53" t="s">
        <v>169</v>
      </c>
      <c r="L53" s="5" t="str">
        <f t="shared" si="17"/>
        <v>No</v>
      </c>
      <c r="N53"/>
      <c r="S53" s="5">
        <f t="shared" si="14"/>
        <v>5</v>
      </c>
      <c r="T53" s="5">
        <f t="shared" si="15"/>
        <v>5</v>
      </c>
      <c r="U53" s="5">
        <f t="shared" si="16"/>
        <v>1</v>
      </c>
      <c r="V53" s="82">
        <f>IF(ISBLANK(FeedbackTracker[[#This Row],[Date]]),"",INT(FeedbackTracker[[#This Row],[Date]]-WEEKDAY(FeedbackTracker[[#This Row],[Date]],2)+1))</f>
        <v>46048</v>
      </c>
    </row>
    <row r="54" spans="1:22" ht="26.4" hidden="1" customHeight="1" x14ac:dyDescent="0.3">
      <c r="A54" s="8">
        <v>115025883593</v>
      </c>
      <c r="B54" s="4">
        <v>46044.747037037036</v>
      </c>
      <c r="C54" t="s">
        <v>45</v>
      </c>
      <c r="D54" t="s">
        <v>452</v>
      </c>
      <c r="E54" t="s">
        <v>454</v>
      </c>
      <c r="F54" t="s">
        <v>170</v>
      </c>
      <c r="G54" s="6">
        <f t="shared" si="13"/>
        <v>3.5</v>
      </c>
      <c r="H54" t="s">
        <v>24</v>
      </c>
      <c r="I54" t="s">
        <v>25</v>
      </c>
      <c r="J54" s="5" t="s">
        <v>34</v>
      </c>
      <c r="K54" t="s">
        <v>171</v>
      </c>
      <c r="L54" s="5" t="str">
        <f t="shared" si="17"/>
        <v>No</v>
      </c>
      <c r="M54" t="s">
        <v>62</v>
      </c>
      <c r="N54" t="s">
        <v>36</v>
      </c>
      <c r="O54" t="s">
        <v>172</v>
      </c>
      <c r="P54" s="7" t="s">
        <v>173</v>
      </c>
      <c r="S54" s="5">
        <f t="shared" si="14"/>
        <v>4</v>
      </c>
      <c r="T54" s="5">
        <f t="shared" si="15"/>
        <v>3</v>
      </c>
      <c r="U54" s="5">
        <f t="shared" si="16"/>
        <v>1</v>
      </c>
      <c r="V54" s="82">
        <f>IF(ISBLANK(FeedbackTracker[[#This Row],[Date]]),"",INT(FeedbackTracker[[#This Row],[Date]]-WEEKDAY(FeedbackTracker[[#This Row],[Date]],2)+1))</f>
        <v>46041</v>
      </c>
    </row>
    <row r="55" spans="1:22" ht="26.4" hidden="1" customHeight="1" x14ac:dyDescent="0.3">
      <c r="A55" s="8">
        <v>115025880088</v>
      </c>
      <c r="B55" s="4">
        <v>46044.744664351849</v>
      </c>
      <c r="C55" t="s">
        <v>174</v>
      </c>
      <c r="D55" t="s">
        <v>457</v>
      </c>
      <c r="E55" t="s">
        <v>453</v>
      </c>
      <c r="F55" t="s">
        <v>112</v>
      </c>
      <c r="G55" s="6">
        <f t="shared" si="13"/>
        <v>4.5</v>
      </c>
      <c r="H55" t="s">
        <v>24</v>
      </c>
      <c r="I55" t="s">
        <v>26</v>
      </c>
      <c r="J55" s="5" t="s">
        <v>34</v>
      </c>
      <c r="K55" t="s">
        <v>175</v>
      </c>
      <c r="L55" s="5" t="str">
        <f t="shared" si="17"/>
        <v>No</v>
      </c>
      <c r="M55" t="s">
        <v>62</v>
      </c>
      <c r="N55"/>
      <c r="S55" s="5">
        <f t="shared" si="14"/>
        <v>4</v>
      </c>
      <c r="T55" s="5">
        <f t="shared" si="15"/>
        <v>5</v>
      </c>
      <c r="U55" s="5">
        <f t="shared" si="16"/>
        <v>1</v>
      </c>
      <c r="V55" s="82">
        <f>IF(ISBLANK(FeedbackTracker[[#This Row],[Date]]),"",INT(FeedbackTracker[[#This Row],[Date]]-WEEKDAY(FeedbackTracker[[#This Row],[Date]],2)+1))</f>
        <v>46041</v>
      </c>
    </row>
    <row r="56" spans="1:22" ht="26.4" hidden="1" customHeight="1" x14ac:dyDescent="0.3">
      <c r="A56" s="8">
        <v>115025861257</v>
      </c>
      <c r="B56" s="4">
        <v>46044.716168981482</v>
      </c>
      <c r="C56" t="s">
        <v>100</v>
      </c>
      <c r="D56" t="s">
        <v>452</v>
      </c>
      <c r="E56" t="s">
        <v>455</v>
      </c>
      <c r="F56" t="s">
        <v>176</v>
      </c>
      <c r="G56" s="6">
        <f t="shared" si="13"/>
        <v>4.5</v>
      </c>
      <c r="H56" t="s">
        <v>24</v>
      </c>
      <c r="I56" t="s">
        <v>26</v>
      </c>
      <c r="J56" s="5" t="s">
        <v>26</v>
      </c>
      <c r="K56" t="s">
        <v>177</v>
      </c>
      <c r="L56" s="5" t="str">
        <f t="shared" si="17"/>
        <v>No</v>
      </c>
      <c r="M56" t="s">
        <v>62</v>
      </c>
      <c r="N56"/>
      <c r="S56" s="5">
        <f t="shared" si="14"/>
        <v>4</v>
      </c>
      <c r="T56" s="5">
        <f t="shared" si="15"/>
        <v>5</v>
      </c>
      <c r="U56" s="5">
        <f t="shared" si="16"/>
        <v>5</v>
      </c>
      <c r="V56" s="82">
        <f>IF(ISBLANK(FeedbackTracker[[#This Row],[Date]]),"",INT(FeedbackTracker[[#This Row],[Date]]-WEEKDAY(FeedbackTracker[[#This Row],[Date]],2)+1))</f>
        <v>46041</v>
      </c>
    </row>
    <row r="57" spans="1:22" ht="26.4" hidden="1" customHeight="1" x14ac:dyDescent="0.3">
      <c r="A57" s="8">
        <v>115024940419</v>
      </c>
      <c r="B57" s="4">
        <v>46043.52375</v>
      </c>
      <c r="C57" t="s">
        <v>85</v>
      </c>
      <c r="D57" t="s">
        <v>452</v>
      </c>
      <c r="E57" t="s">
        <v>453</v>
      </c>
      <c r="F57" t="s">
        <v>178</v>
      </c>
      <c r="G57" s="6">
        <f t="shared" si="13"/>
        <v>3</v>
      </c>
      <c r="H57" t="s">
        <v>42</v>
      </c>
      <c r="I57" t="s">
        <v>25</v>
      </c>
      <c r="J57" s="5" t="s">
        <v>34</v>
      </c>
      <c r="L57" s="5" t="str">
        <f t="shared" si="17"/>
        <v>Yes</v>
      </c>
      <c r="M57" t="s">
        <v>62</v>
      </c>
      <c r="N57" t="s">
        <v>36</v>
      </c>
      <c r="O57" t="s">
        <v>70</v>
      </c>
      <c r="P57" s="7" t="s">
        <v>179</v>
      </c>
      <c r="S57" s="5">
        <f t="shared" si="14"/>
        <v>3</v>
      </c>
      <c r="T57" s="5">
        <f t="shared" si="15"/>
        <v>3</v>
      </c>
      <c r="U57" s="5">
        <f t="shared" si="16"/>
        <v>1</v>
      </c>
      <c r="V57" s="82">
        <f>IF(ISBLANK(FeedbackTracker[[#This Row],[Date]]),"",INT(FeedbackTracker[[#This Row],[Date]]-WEEKDAY(FeedbackTracker[[#This Row],[Date]],2)+1))</f>
        <v>46041</v>
      </c>
    </row>
    <row r="58" spans="1:22" ht="26.4" hidden="1" customHeight="1" x14ac:dyDescent="0.3">
      <c r="A58" s="8">
        <v>115024937956</v>
      </c>
      <c r="B58" s="4">
        <v>46043.51053240741</v>
      </c>
      <c r="C58" t="s">
        <v>180</v>
      </c>
      <c r="D58" t="s">
        <v>452</v>
      </c>
      <c r="E58" t="s">
        <v>454</v>
      </c>
      <c r="F58" t="s">
        <v>181</v>
      </c>
      <c r="G58" s="6">
        <f t="shared" si="13"/>
        <v>1</v>
      </c>
      <c r="H58" t="s">
        <v>116</v>
      </c>
      <c r="I58" t="s">
        <v>34</v>
      </c>
      <c r="J58" s="5" t="s">
        <v>34</v>
      </c>
      <c r="K58" t="s">
        <v>182</v>
      </c>
      <c r="L58" s="5" t="str">
        <f t="shared" si="17"/>
        <v>Yes</v>
      </c>
      <c r="M58" t="s">
        <v>62</v>
      </c>
      <c r="N58" t="s">
        <v>36</v>
      </c>
      <c r="O58" t="s">
        <v>70</v>
      </c>
      <c r="P58" s="7" t="s">
        <v>183</v>
      </c>
      <c r="S58" s="5">
        <f t="shared" si="14"/>
        <v>1</v>
      </c>
      <c r="T58" s="5">
        <f t="shared" si="15"/>
        <v>1</v>
      </c>
      <c r="U58" s="5">
        <f t="shared" si="16"/>
        <v>1</v>
      </c>
      <c r="V58" s="82">
        <f>IF(ISBLANK(FeedbackTracker[[#This Row],[Date]]),"",INT(FeedbackTracker[[#This Row],[Date]]-WEEKDAY(FeedbackTracker[[#This Row],[Date]],2)+1))</f>
        <v>46041</v>
      </c>
    </row>
    <row r="59" spans="1:22" ht="26.4" hidden="1" customHeight="1" x14ac:dyDescent="0.3">
      <c r="A59" s="8">
        <v>115023428054</v>
      </c>
      <c r="B59" s="4">
        <v>46041.410833333335</v>
      </c>
      <c r="C59" t="s">
        <v>184</v>
      </c>
      <c r="D59" t="s">
        <v>457</v>
      </c>
      <c r="E59" t="s">
        <v>453</v>
      </c>
      <c r="F59" t="s">
        <v>185</v>
      </c>
      <c r="G59" s="6">
        <f t="shared" si="13"/>
        <v>1.5</v>
      </c>
      <c r="H59" t="s">
        <v>107</v>
      </c>
      <c r="I59" t="s">
        <v>34</v>
      </c>
      <c r="J59" s="5" t="s">
        <v>34</v>
      </c>
      <c r="K59" s="7" t="s">
        <v>186</v>
      </c>
      <c r="L59" s="5" t="str">
        <f t="shared" si="17"/>
        <v>Yes</v>
      </c>
      <c r="N59" t="s">
        <v>36</v>
      </c>
      <c r="O59" t="s">
        <v>70</v>
      </c>
      <c r="P59" s="7" t="s">
        <v>187</v>
      </c>
      <c r="S59" s="5">
        <f t="shared" si="14"/>
        <v>2</v>
      </c>
      <c r="T59" s="5">
        <f t="shared" si="15"/>
        <v>1</v>
      </c>
      <c r="U59" s="5">
        <f t="shared" si="16"/>
        <v>1</v>
      </c>
      <c r="V59" s="82">
        <f>IF(ISBLANK(FeedbackTracker[[#This Row],[Date]]),"",INT(FeedbackTracker[[#This Row],[Date]]-WEEKDAY(FeedbackTracker[[#This Row],[Date]],2)+1))</f>
        <v>46041</v>
      </c>
    </row>
    <row r="60" spans="1:22" ht="26.4" hidden="1" customHeight="1" x14ac:dyDescent="0.3">
      <c r="A60" s="8">
        <v>115018340690</v>
      </c>
      <c r="B60" s="4">
        <v>46032.786979166667</v>
      </c>
      <c r="C60" t="s">
        <v>52</v>
      </c>
      <c r="D60" t="s">
        <v>452</v>
      </c>
      <c r="E60" t="s">
        <v>453</v>
      </c>
      <c r="F60" t="s">
        <v>191</v>
      </c>
      <c r="G60" s="6">
        <f t="shared" si="13"/>
        <v>4.5</v>
      </c>
      <c r="H60" t="s">
        <v>24</v>
      </c>
      <c r="I60" t="s">
        <v>26</v>
      </c>
      <c r="J60" s="5" t="s">
        <v>34</v>
      </c>
      <c r="L60" s="5" t="str">
        <f t="shared" si="17"/>
        <v>No</v>
      </c>
      <c r="M60" t="s">
        <v>62</v>
      </c>
      <c r="N60"/>
      <c r="S60" s="5">
        <f t="shared" si="14"/>
        <v>4</v>
      </c>
      <c r="T60" s="5">
        <f t="shared" si="15"/>
        <v>5</v>
      </c>
      <c r="U60" s="5">
        <f t="shared" si="16"/>
        <v>1</v>
      </c>
      <c r="V60" s="82">
        <f>IF(ISBLANK(FeedbackTracker[[#This Row],[Date]]),"",INT(FeedbackTracker[[#This Row],[Date]]-WEEKDAY(FeedbackTracker[[#This Row],[Date]],2)+1))</f>
        <v>46027</v>
      </c>
    </row>
    <row r="61" spans="1:22" ht="26.4" hidden="1" customHeight="1" x14ac:dyDescent="0.3">
      <c r="A61" s="8">
        <v>115017277742</v>
      </c>
      <c r="B61" s="4">
        <v>46031.017488425925</v>
      </c>
      <c r="C61" t="s">
        <v>192</v>
      </c>
      <c r="D61" t="s">
        <v>452</v>
      </c>
      <c r="E61" t="s">
        <v>454</v>
      </c>
      <c r="F61" t="s">
        <v>193</v>
      </c>
      <c r="G61" s="6">
        <f t="shared" si="13"/>
        <v>5</v>
      </c>
      <c r="H61" t="s">
        <v>57</v>
      </c>
      <c r="I61" t="s">
        <v>26</v>
      </c>
      <c r="J61" s="5" t="s">
        <v>34</v>
      </c>
      <c r="K61" t="s">
        <v>194</v>
      </c>
      <c r="L61" s="5" t="str">
        <f t="shared" si="17"/>
        <v>No</v>
      </c>
      <c r="M61" t="s">
        <v>62</v>
      </c>
      <c r="N61"/>
      <c r="S61" s="5">
        <f t="shared" si="14"/>
        <v>5</v>
      </c>
      <c r="T61" s="5">
        <f t="shared" si="15"/>
        <v>5</v>
      </c>
      <c r="U61" s="5">
        <f t="shared" si="16"/>
        <v>1</v>
      </c>
      <c r="V61" s="82">
        <f>IF(ISBLANK(FeedbackTracker[[#This Row],[Date]]),"",INT(FeedbackTracker[[#This Row],[Date]]-WEEKDAY(FeedbackTracker[[#This Row],[Date]],2)+1))</f>
        <v>46027</v>
      </c>
    </row>
    <row r="62" spans="1:22" ht="26.4" hidden="1" customHeight="1" x14ac:dyDescent="0.3">
      <c r="A62" s="8">
        <v>115017009833</v>
      </c>
      <c r="B62" s="4">
        <v>46030.721597222226</v>
      </c>
      <c r="C62" t="s">
        <v>195</v>
      </c>
      <c r="D62" t="s">
        <v>457</v>
      </c>
      <c r="E62" t="s">
        <v>455</v>
      </c>
      <c r="F62" t="s">
        <v>196</v>
      </c>
      <c r="G62" s="6">
        <f t="shared" si="13"/>
        <v>5</v>
      </c>
      <c r="H62" t="s">
        <v>57</v>
      </c>
      <c r="I62" t="s">
        <v>26</v>
      </c>
      <c r="J62" s="5" t="s">
        <v>34</v>
      </c>
      <c r="K62" t="s">
        <v>197</v>
      </c>
      <c r="L62" s="5" t="str">
        <f t="shared" si="17"/>
        <v>No</v>
      </c>
      <c r="M62" t="s">
        <v>62</v>
      </c>
      <c r="N62"/>
      <c r="S62" s="5">
        <f t="shared" si="14"/>
        <v>5</v>
      </c>
      <c r="T62" s="5">
        <f t="shared" si="15"/>
        <v>5</v>
      </c>
      <c r="U62" s="5">
        <f t="shared" si="16"/>
        <v>1</v>
      </c>
      <c r="V62" s="82">
        <f>IF(ISBLANK(FeedbackTracker[[#This Row],[Date]]),"",INT(FeedbackTracker[[#This Row],[Date]]-WEEKDAY(FeedbackTracker[[#This Row],[Date]],2)+1))</f>
        <v>46027</v>
      </c>
    </row>
    <row r="63" spans="1:22" ht="26.4" hidden="1" customHeight="1" x14ac:dyDescent="0.3">
      <c r="A63" s="8">
        <v>115016261180</v>
      </c>
      <c r="B63" s="4">
        <v>46029.541770833333</v>
      </c>
      <c r="C63" t="s">
        <v>85</v>
      </c>
      <c r="D63" t="s">
        <v>452</v>
      </c>
      <c r="E63" t="s">
        <v>453</v>
      </c>
      <c r="F63" t="s">
        <v>198</v>
      </c>
      <c r="G63" s="6">
        <f t="shared" si="13"/>
        <v>3</v>
      </c>
      <c r="H63" t="s">
        <v>42</v>
      </c>
      <c r="I63" t="s">
        <v>25</v>
      </c>
      <c r="J63" s="5" t="s">
        <v>34</v>
      </c>
      <c r="K63" t="s">
        <v>199</v>
      </c>
      <c r="L63" s="5" t="str">
        <f t="shared" si="17"/>
        <v>Yes</v>
      </c>
      <c r="M63" t="s">
        <v>109</v>
      </c>
      <c r="N63" s="7" t="s">
        <v>36</v>
      </c>
      <c r="O63" t="s">
        <v>450</v>
      </c>
      <c r="P63" s="7" t="s">
        <v>200</v>
      </c>
      <c r="S63" s="5">
        <f t="shared" si="14"/>
        <v>3</v>
      </c>
      <c r="T63" s="5">
        <f t="shared" si="15"/>
        <v>3</v>
      </c>
      <c r="U63" s="5">
        <f t="shared" si="16"/>
        <v>1</v>
      </c>
      <c r="V63" s="82">
        <f>IF(ISBLANK(FeedbackTracker[[#This Row],[Date]]),"",INT(FeedbackTracker[[#This Row],[Date]]-WEEKDAY(FeedbackTracker[[#This Row],[Date]],2)+1))</f>
        <v>46027</v>
      </c>
    </row>
    <row r="64" spans="1:22" ht="26.4" hidden="1" customHeight="1" x14ac:dyDescent="0.3">
      <c r="A64" s="8">
        <v>115015684851</v>
      </c>
      <c r="B64" s="4">
        <v>46028.76226851852</v>
      </c>
      <c r="C64" t="s">
        <v>201</v>
      </c>
      <c r="D64" t="s">
        <v>457</v>
      </c>
      <c r="E64" t="s">
        <v>454</v>
      </c>
      <c r="F64" t="s">
        <v>202</v>
      </c>
      <c r="G64" s="6">
        <f t="shared" si="13"/>
        <v>2</v>
      </c>
      <c r="H64" t="s">
        <v>42</v>
      </c>
      <c r="I64" t="s">
        <v>34</v>
      </c>
      <c r="J64" s="5" t="s">
        <v>34</v>
      </c>
      <c r="L64" s="5" t="str">
        <f t="shared" si="17"/>
        <v>Yes</v>
      </c>
      <c r="M64" t="s">
        <v>36</v>
      </c>
      <c r="N64" t="s">
        <v>36</v>
      </c>
      <c r="O64" t="s">
        <v>70</v>
      </c>
      <c r="P64" s="7" t="s">
        <v>203</v>
      </c>
      <c r="S64" s="5">
        <f t="shared" si="14"/>
        <v>3</v>
      </c>
      <c r="T64" s="5">
        <f t="shared" si="15"/>
        <v>1</v>
      </c>
      <c r="U64" s="5">
        <f t="shared" si="16"/>
        <v>1</v>
      </c>
      <c r="V64" s="82">
        <f>IF(ISBLANK(FeedbackTracker[[#This Row],[Date]]),"",INT(FeedbackTracker[[#This Row],[Date]]-WEEKDAY(FeedbackTracker[[#This Row],[Date]],2)+1))</f>
        <v>46027</v>
      </c>
    </row>
    <row r="65" spans="1:22" ht="26.4" hidden="1" customHeight="1" x14ac:dyDescent="0.3">
      <c r="A65" s="8">
        <v>115015667192</v>
      </c>
      <c r="B65" s="4">
        <v>46028.72896990741</v>
      </c>
      <c r="C65" t="s">
        <v>52</v>
      </c>
      <c r="D65" t="s">
        <v>452</v>
      </c>
      <c r="E65" t="s">
        <v>453</v>
      </c>
      <c r="F65" t="s">
        <v>53</v>
      </c>
      <c r="G65" s="6">
        <f t="shared" ref="G65:G96" si="18">AVERAGE(S65:T65)</f>
        <v>4</v>
      </c>
      <c r="H65" t="s">
        <v>42</v>
      </c>
      <c r="I65" t="s">
        <v>26</v>
      </c>
      <c r="J65" s="5" t="s">
        <v>26</v>
      </c>
      <c r="K65" t="s">
        <v>204</v>
      </c>
      <c r="L65" s="5" t="str">
        <f t="shared" si="17"/>
        <v>No</v>
      </c>
      <c r="N65" s="7" t="s">
        <v>109</v>
      </c>
      <c r="P65" s="7" t="s">
        <v>205</v>
      </c>
      <c r="S65" s="5">
        <f t="shared" si="14"/>
        <v>3</v>
      </c>
      <c r="T65" s="5">
        <f t="shared" si="15"/>
        <v>5</v>
      </c>
      <c r="U65" s="5">
        <f t="shared" si="16"/>
        <v>5</v>
      </c>
      <c r="V65" s="82">
        <f>IF(ISBLANK(FeedbackTracker[[#This Row],[Date]]),"",INT(FeedbackTracker[[#This Row],[Date]]-WEEKDAY(FeedbackTracker[[#This Row],[Date]],2)+1))</f>
        <v>46027</v>
      </c>
    </row>
    <row r="66" spans="1:22" ht="26.4" hidden="1" customHeight="1" x14ac:dyDescent="0.3">
      <c r="A66" s="8">
        <v>115013186956</v>
      </c>
      <c r="B66" s="4">
        <v>46022.557025462964</v>
      </c>
      <c r="C66" t="s">
        <v>206</v>
      </c>
      <c r="D66" t="s">
        <v>452</v>
      </c>
      <c r="E66" t="s">
        <v>459</v>
      </c>
      <c r="F66" t="s">
        <v>207</v>
      </c>
      <c r="G66" s="6">
        <f t="shared" si="18"/>
        <v>3</v>
      </c>
      <c r="H66" t="s">
        <v>42</v>
      </c>
      <c r="I66" t="s">
        <v>25</v>
      </c>
      <c r="J66" s="5" t="s">
        <v>34</v>
      </c>
      <c r="L66" s="5" t="str">
        <f t="shared" si="17"/>
        <v>Yes</v>
      </c>
      <c r="M66" t="s">
        <v>62</v>
      </c>
      <c r="N66" s="7" t="s">
        <v>109</v>
      </c>
      <c r="P66" s="7" t="s">
        <v>208</v>
      </c>
      <c r="S66" s="5">
        <f t="shared" si="14"/>
        <v>3</v>
      </c>
      <c r="T66" s="5">
        <f t="shared" si="15"/>
        <v>3</v>
      </c>
      <c r="U66" s="5">
        <f t="shared" si="16"/>
        <v>1</v>
      </c>
      <c r="V66" s="82">
        <f>IF(ISBLANK(FeedbackTracker[[#This Row],[Date]]),"",INT(FeedbackTracker[[#This Row],[Date]]-WEEKDAY(FeedbackTracker[[#This Row],[Date]],2)+1))</f>
        <v>46020</v>
      </c>
    </row>
    <row r="67" spans="1:22" ht="26.4" hidden="1" customHeight="1" x14ac:dyDescent="0.3">
      <c r="A67" s="8">
        <v>115012660017</v>
      </c>
      <c r="B67" s="4">
        <v>46021.481574074074</v>
      </c>
      <c r="C67" t="s">
        <v>209</v>
      </c>
      <c r="D67" t="s">
        <v>457</v>
      </c>
      <c r="E67" t="s">
        <v>453</v>
      </c>
      <c r="F67" t="s">
        <v>210</v>
      </c>
      <c r="G67" s="6">
        <f t="shared" si="18"/>
        <v>3.5</v>
      </c>
      <c r="H67" t="s">
        <v>24</v>
      </c>
      <c r="I67" t="s">
        <v>25</v>
      </c>
      <c r="J67" s="5" t="s">
        <v>34</v>
      </c>
      <c r="L67" s="5" t="str">
        <f t="shared" si="17"/>
        <v>No</v>
      </c>
      <c r="N67" t="s">
        <v>36</v>
      </c>
      <c r="O67" t="s">
        <v>63</v>
      </c>
      <c r="P67" s="7" t="s">
        <v>211</v>
      </c>
      <c r="S67" s="5">
        <f t="shared" si="14"/>
        <v>4</v>
      </c>
      <c r="T67" s="5">
        <f t="shared" si="15"/>
        <v>3</v>
      </c>
      <c r="U67" s="5">
        <f t="shared" si="16"/>
        <v>1</v>
      </c>
      <c r="V67" s="82">
        <f>IF(ISBLANK(FeedbackTracker[[#This Row],[Date]]),"",INT(FeedbackTracker[[#This Row],[Date]]-WEEKDAY(FeedbackTracker[[#This Row],[Date]],2)+1))</f>
        <v>46020</v>
      </c>
    </row>
    <row r="68" spans="1:22" ht="26.4" hidden="1" customHeight="1" x14ac:dyDescent="0.3">
      <c r="A68" s="8">
        <v>115012289070</v>
      </c>
      <c r="B68" s="4">
        <v>46020.713472222225</v>
      </c>
      <c r="C68" t="s">
        <v>212</v>
      </c>
      <c r="D68" t="s">
        <v>452</v>
      </c>
      <c r="E68" t="s">
        <v>455</v>
      </c>
      <c r="F68" t="s">
        <v>213</v>
      </c>
      <c r="G68" s="6">
        <f t="shared" si="18"/>
        <v>5</v>
      </c>
      <c r="H68" t="s">
        <v>57</v>
      </c>
      <c r="I68" t="s">
        <v>26</v>
      </c>
      <c r="J68" s="5" t="s">
        <v>34</v>
      </c>
      <c r="K68" t="s">
        <v>214</v>
      </c>
      <c r="L68" s="5" t="str">
        <f t="shared" si="17"/>
        <v>No</v>
      </c>
      <c r="N68"/>
      <c r="S68" s="5">
        <f t="shared" si="14"/>
        <v>5</v>
      </c>
      <c r="T68" s="5">
        <f t="shared" si="15"/>
        <v>5</v>
      </c>
      <c r="U68" s="5">
        <f t="shared" si="16"/>
        <v>1</v>
      </c>
      <c r="V68" s="82">
        <f>IF(ISBLANK(FeedbackTracker[[#This Row],[Date]]),"",INT(FeedbackTracker[[#This Row],[Date]]-WEEKDAY(FeedbackTracker[[#This Row],[Date]],2)+1))</f>
        <v>46020</v>
      </c>
    </row>
    <row r="69" spans="1:22" ht="26.4" hidden="1" customHeight="1" x14ac:dyDescent="0.3">
      <c r="A69" s="8">
        <v>115012288408</v>
      </c>
      <c r="B69" s="4">
        <v>46020.730787037035</v>
      </c>
      <c r="C69" t="s">
        <v>184</v>
      </c>
      <c r="D69" t="s">
        <v>457</v>
      </c>
      <c r="E69" t="s">
        <v>453</v>
      </c>
      <c r="F69" t="s">
        <v>215</v>
      </c>
      <c r="G69" s="6">
        <f t="shared" si="18"/>
        <v>3</v>
      </c>
      <c r="H69" t="s">
        <v>42</v>
      </c>
      <c r="I69" t="s">
        <v>25</v>
      </c>
      <c r="J69" s="5" t="s">
        <v>26</v>
      </c>
      <c r="K69" t="s">
        <v>216</v>
      </c>
      <c r="L69" s="5" t="str">
        <f t="shared" si="17"/>
        <v>Yes</v>
      </c>
      <c r="N69" t="s">
        <v>36</v>
      </c>
      <c r="O69" t="s">
        <v>217</v>
      </c>
      <c r="P69" s="7" t="s">
        <v>218</v>
      </c>
      <c r="S69" s="5">
        <f t="shared" si="14"/>
        <v>3</v>
      </c>
      <c r="T69" s="5">
        <f t="shared" si="15"/>
        <v>3</v>
      </c>
      <c r="U69" s="5">
        <f t="shared" si="16"/>
        <v>5</v>
      </c>
      <c r="V69" s="82">
        <f>IF(ISBLANK(FeedbackTracker[[#This Row],[Date]]),"",INT(FeedbackTracker[[#This Row],[Date]]-WEEKDAY(FeedbackTracker[[#This Row],[Date]],2)+1))</f>
        <v>46020</v>
      </c>
    </row>
    <row r="70" spans="1:22" ht="26.4" hidden="1" customHeight="1" x14ac:dyDescent="0.3">
      <c r="A70" s="8">
        <v>115012177987</v>
      </c>
      <c r="B70" s="4">
        <v>46020.393807870372</v>
      </c>
      <c r="C70" t="s">
        <v>165</v>
      </c>
      <c r="D70" t="s">
        <v>457</v>
      </c>
      <c r="E70" t="s">
        <v>454</v>
      </c>
      <c r="F70" t="s">
        <v>219</v>
      </c>
      <c r="G70" s="6">
        <f t="shared" si="18"/>
        <v>5</v>
      </c>
      <c r="H70" t="s">
        <v>57</v>
      </c>
      <c r="I70" t="s">
        <v>26</v>
      </c>
      <c r="J70" s="5" t="s">
        <v>34</v>
      </c>
      <c r="K70" t="s">
        <v>220</v>
      </c>
      <c r="L70" s="5" t="str">
        <f t="shared" ref="L70:L107" si="19">IF(G70&lt;=3,"Yes","No")</f>
        <v>No</v>
      </c>
      <c r="M70" t="s">
        <v>217</v>
      </c>
      <c r="N70"/>
      <c r="S70" s="5">
        <f t="shared" ref="S70:S107" si="20">IF(H70="Extremely useful",5,IF(H70="Very useful",4,IF(H70="Moderately useful",3,IF(H70="Slightly useful",2,IF(H70="Not useful",1)))))</f>
        <v>5</v>
      </c>
      <c r="T70" s="5">
        <f t="shared" ref="T70:T107" si="21">IF(I70="Yes",5,IF(I70="Partly",3,IF(I70="No",1)))</f>
        <v>5</v>
      </c>
      <c r="U70" s="5">
        <f t="shared" ref="U70:U107" si="22">IF(J70="Yes",5,IF(J70="No",1))</f>
        <v>1</v>
      </c>
      <c r="V70" s="82">
        <f>IF(ISBLANK(FeedbackTracker[[#This Row],[Date]]),"",INT(FeedbackTracker[[#This Row],[Date]]-WEEKDAY(FeedbackTracker[[#This Row],[Date]],2)+1))</f>
        <v>46020</v>
      </c>
    </row>
    <row r="71" spans="1:22" ht="26.4" hidden="1" customHeight="1" x14ac:dyDescent="0.3">
      <c r="A71" s="8">
        <v>115011737997</v>
      </c>
      <c r="B71" s="4">
        <v>46018.772083333337</v>
      </c>
      <c r="C71" t="s">
        <v>221</v>
      </c>
      <c r="D71" t="s">
        <v>452</v>
      </c>
      <c r="E71" t="s">
        <v>460</v>
      </c>
      <c r="F71" t="s">
        <v>207</v>
      </c>
      <c r="G71" s="6">
        <f t="shared" si="18"/>
        <v>5</v>
      </c>
      <c r="H71" t="s">
        <v>57</v>
      </c>
      <c r="I71" t="s">
        <v>26</v>
      </c>
      <c r="J71" s="5" t="s">
        <v>34</v>
      </c>
      <c r="K71" t="s">
        <v>222</v>
      </c>
      <c r="L71" s="5" t="str">
        <f t="shared" si="19"/>
        <v>No</v>
      </c>
      <c r="M71" t="s">
        <v>62</v>
      </c>
      <c r="N71"/>
      <c r="S71" s="5">
        <f t="shared" si="20"/>
        <v>5</v>
      </c>
      <c r="T71" s="5">
        <f t="shared" si="21"/>
        <v>5</v>
      </c>
      <c r="U71" s="5">
        <f t="shared" si="22"/>
        <v>1</v>
      </c>
      <c r="V71" s="82">
        <f>IF(ISBLANK(FeedbackTracker[[#This Row],[Date]]),"",INT(FeedbackTracker[[#This Row],[Date]]-WEEKDAY(FeedbackTracker[[#This Row],[Date]],2)+1))</f>
        <v>46013</v>
      </c>
    </row>
    <row r="72" spans="1:22" ht="26.4" hidden="1" customHeight="1" x14ac:dyDescent="0.3">
      <c r="A72" s="8">
        <v>115010691070</v>
      </c>
      <c r="B72" s="4">
        <v>46015.40425925926</v>
      </c>
      <c r="C72" t="s">
        <v>221</v>
      </c>
      <c r="D72" t="s">
        <v>452</v>
      </c>
      <c r="E72" t="s">
        <v>460</v>
      </c>
      <c r="F72" t="s">
        <v>207</v>
      </c>
      <c r="G72" s="6">
        <f t="shared" si="18"/>
        <v>4.5</v>
      </c>
      <c r="H72" t="s">
        <v>24</v>
      </c>
      <c r="I72" t="s">
        <v>26</v>
      </c>
      <c r="J72" s="5" t="s">
        <v>34</v>
      </c>
      <c r="K72" t="s">
        <v>223</v>
      </c>
      <c r="L72" s="5" t="str">
        <f t="shared" si="19"/>
        <v>No</v>
      </c>
      <c r="N72" t="s">
        <v>217</v>
      </c>
      <c r="O72" t="s">
        <v>217</v>
      </c>
      <c r="P72" s="7" t="s">
        <v>217</v>
      </c>
      <c r="S72" s="5">
        <f t="shared" si="20"/>
        <v>4</v>
      </c>
      <c r="T72" s="5">
        <f t="shared" si="21"/>
        <v>5</v>
      </c>
      <c r="U72" s="5">
        <f t="shared" si="22"/>
        <v>1</v>
      </c>
      <c r="V72" s="82">
        <f>IF(ISBLANK(FeedbackTracker[[#This Row],[Date]]),"",INT(FeedbackTracker[[#This Row],[Date]]-WEEKDAY(FeedbackTracker[[#This Row],[Date]],2)+1))</f>
        <v>46013</v>
      </c>
    </row>
    <row r="73" spans="1:22" ht="26.4" hidden="1" customHeight="1" x14ac:dyDescent="0.3">
      <c r="A73" s="8">
        <v>115010658032</v>
      </c>
      <c r="B73" s="4">
        <v>46015.405798611115</v>
      </c>
      <c r="C73" t="s">
        <v>55</v>
      </c>
      <c r="D73" t="s">
        <v>452</v>
      </c>
      <c r="E73" t="s">
        <v>453</v>
      </c>
      <c r="F73" t="s">
        <v>149</v>
      </c>
      <c r="G73" s="6">
        <f t="shared" si="18"/>
        <v>5</v>
      </c>
      <c r="H73" t="s">
        <v>57</v>
      </c>
      <c r="I73" t="s">
        <v>26</v>
      </c>
      <c r="J73" s="5" t="s">
        <v>34</v>
      </c>
      <c r="K73" t="s">
        <v>224</v>
      </c>
      <c r="L73" s="5" t="str">
        <f t="shared" si="19"/>
        <v>No</v>
      </c>
      <c r="M73" t="s">
        <v>62</v>
      </c>
      <c r="N73" t="s">
        <v>217</v>
      </c>
      <c r="O73" t="s">
        <v>217</v>
      </c>
      <c r="P73" s="7" t="s">
        <v>217</v>
      </c>
      <c r="S73" s="5">
        <f t="shared" si="20"/>
        <v>5</v>
      </c>
      <c r="T73" s="5">
        <f t="shared" si="21"/>
        <v>5</v>
      </c>
      <c r="U73" s="5">
        <f t="shared" si="22"/>
        <v>1</v>
      </c>
      <c r="V73" s="82">
        <f>IF(ISBLANK(FeedbackTracker[[#This Row],[Date]]),"",INT(FeedbackTracker[[#This Row],[Date]]-WEEKDAY(FeedbackTracker[[#This Row],[Date]],2)+1))</f>
        <v>46013</v>
      </c>
    </row>
    <row r="74" spans="1:22" ht="26.4" customHeight="1" x14ac:dyDescent="0.3">
      <c r="A74" s="8">
        <v>115010656706</v>
      </c>
      <c r="B74" s="4">
        <v>46015.402083333334</v>
      </c>
      <c r="C74" s="85" t="s">
        <v>45</v>
      </c>
      <c r="D74" t="s">
        <v>452</v>
      </c>
      <c r="E74" t="s">
        <v>454</v>
      </c>
      <c r="F74" t="s">
        <v>46</v>
      </c>
      <c r="G74" s="6">
        <f t="shared" si="18"/>
        <v>4</v>
      </c>
      <c r="H74" t="s">
        <v>42</v>
      </c>
      <c r="I74" t="s">
        <v>26</v>
      </c>
      <c r="J74" s="5" t="s">
        <v>34</v>
      </c>
      <c r="K74" s="79" t="s">
        <v>47</v>
      </c>
      <c r="L74" s="5" t="str">
        <f t="shared" si="19"/>
        <v>No</v>
      </c>
      <c r="N74" s="7" t="s">
        <v>36</v>
      </c>
      <c r="O74" t="s">
        <v>217</v>
      </c>
      <c r="P74" s="79" t="s">
        <v>225</v>
      </c>
      <c r="S74" s="5">
        <f t="shared" si="20"/>
        <v>3</v>
      </c>
      <c r="T74" s="5">
        <f t="shared" si="21"/>
        <v>5</v>
      </c>
      <c r="U74" s="5">
        <f t="shared" si="22"/>
        <v>1</v>
      </c>
      <c r="V74" s="82">
        <f>IF(ISBLANK(FeedbackTracker[[#This Row],[Date]]),"",INT(FeedbackTracker[[#This Row],[Date]]-WEEKDAY(FeedbackTracker[[#This Row],[Date]],2)+1))</f>
        <v>46013</v>
      </c>
    </row>
    <row r="75" spans="1:22" ht="26.4" hidden="1" customHeight="1" x14ac:dyDescent="0.3">
      <c r="A75" s="8">
        <v>115010120828</v>
      </c>
      <c r="B75" s="4">
        <v>46014.410763888889</v>
      </c>
      <c r="C75" t="s">
        <v>226</v>
      </c>
      <c r="D75" t="s">
        <v>457</v>
      </c>
      <c r="E75" t="s">
        <v>453</v>
      </c>
      <c r="F75" t="s">
        <v>227</v>
      </c>
      <c r="G75" s="6">
        <f t="shared" si="18"/>
        <v>5</v>
      </c>
      <c r="H75" t="s">
        <v>57</v>
      </c>
      <c r="I75" t="s">
        <v>26</v>
      </c>
      <c r="J75" s="5" t="s">
        <v>34</v>
      </c>
      <c r="L75" s="5" t="str">
        <f t="shared" si="19"/>
        <v>No</v>
      </c>
      <c r="N75"/>
      <c r="S75" s="5">
        <f t="shared" si="20"/>
        <v>5</v>
      </c>
      <c r="T75" s="5">
        <f t="shared" si="21"/>
        <v>5</v>
      </c>
      <c r="U75" s="5">
        <f t="shared" si="22"/>
        <v>1</v>
      </c>
      <c r="V75" s="82">
        <f>IF(ISBLANK(FeedbackTracker[[#This Row],[Date]]),"",INT(FeedbackTracker[[#This Row],[Date]]-WEEKDAY(FeedbackTracker[[#This Row],[Date]],2)+1))</f>
        <v>46013</v>
      </c>
    </row>
    <row r="76" spans="1:22" ht="26.4" hidden="1" customHeight="1" x14ac:dyDescent="0.3">
      <c r="A76" s="8">
        <v>115010117943</v>
      </c>
      <c r="B76" s="4">
        <v>46014.383958333332</v>
      </c>
      <c r="C76" t="s">
        <v>151</v>
      </c>
      <c r="D76" t="s">
        <v>457</v>
      </c>
      <c r="E76" t="s">
        <v>455</v>
      </c>
      <c r="F76" t="s">
        <v>30</v>
      </c>
      <c r="G76" s="6">
        <f t="shared" si="18"/>
        <v>3</v>
      </c>
      <c r="H76" t="s">
        <v>42</v>
      </c>
      <c r="I76" t="s">
        <v>25</v>
      </c>
      <c r="J76" s="5" t="s">
        <v>26</v>
      </c>
      <c r="K76" s="7" t="s">
        <v>228</v>
      </c>
      <c r="L76" s="5" t="str">
        <f t="shared" si="19"/>
        <v>Yes</v>
      </c>
      <c r="M76" t="s">
        <v>62</v>
      </c>
      <c r="N76" t="s">
        <v>36</v>
      </c>
      <c r="O76" t="s">
        <v>70</v>
      </c>
      <c r="P76" s="7" t="s">
        <v>229</v>
      </c>
      <c r="S76" s="5">
        <f t="shared" si="20"/>
        <v>3</v>
      </c>
      <c r="T76" s="5">
        <f t="shared" si="21"/>
        <v>3</v>
      </c>
      <c r="U76" s="5">
        <f t="shared" si="22"/>
        <v>5</v>
      </c>
      <c r="V76" s="82">
        <f>IF(ISBLANK(FeedbackTracker[[#This Row],[Date]]),"",INT(FeedbackTracker[[#This Row],[Date]]-WEEKDAY(FeedbackTracker[[#This Row],[Date]],2)+1))</f>
        <v>46013</v>
      </c>
    </row>
    <row r="77" spans="1:22" ht="26.4" hidden="1" customHeight="1" x14ac:dyDescent="0.3">
      <c r="A77" s="8">
        <v>115010117925</v>
      </c>
      <c r="B77" s="4">
        <v>46014.395868055559</v>
      </c>
      <c r="C77" t="s">
        <v>151</v>
      </c>
      <c r="D77" t="s">
        <v>457</v>
      </c>
      <c r="E77" t="s">
        <v>455</v>
      </c>
      <c r="F77" t="s">
        <v>176</v>
      </c>
      <c r="G77" s="6">
        <f t="shared" si="18"/>
        <v>3</v>
      </c>
      <c r="H77" t="s">
        <v>42</v>
      </c>
      <c r="I77" t="s">
        <v>25</v>
      </c>
      <c r="J77" s="5" t="s">
        <v>26</v>
      </c>
      <c r="K77" s="7" t="s">
        <v>230</v>
      </c>
      <c r="L77" s="5" t="str">
        <f t="shared" si="19"/>
        <v>Yes</v>
      </c>
      <c r="M77" t="s">
        <v>109</v>
      </c>
      <c r="N77" s="7" t="s">
        <v>36</v>
      </c>
      <c r="O77" t="s">
        <v>63</v>
      </c>
      <c r="P77" s="7" t="s">
        <v>231</v>
      </c>
      <c r="S77" s="5">
        <f t="shared" si="20"/>
        <v>3</v>
      </c>
      <c r="T77" s="5">
        <f t="shared" si="21"/>
        <v>3</v>
      </c>
      <c r="U77" s="5">
        <f t="shared" si="22"/>
        <v>5</v>
      </c>
      <c r="V77" s="82">
        <f>IF(ISBLANK(FeedbackTracker[[#This Row],[Date]]),"",INT(FeedbackTracker[[#This Row],[Date]]-WEEKDAY(FeedbackTracker[[#This Row],[Date]],2)+1))</f>
        <v>46013</v>
      </c>
    </row>
    <row r="78" spans="1:22" ht="26.4" hidden="1" customHeight="1" x14ac:dyDescent="0.3">
      <c r="A78" s="8">
        <v>115009560473</v>
      </c>
      <c r="B78" s="4">
        <v>46013.407395833332</v>
      </c>
      <c r="C78" t="s">
        <v>232</v>
      </c>
      <c r="D78" t="s">
        <v>452</v>
      </c>
      <c r="E78" t="s">
        <v>454</v>
      </c>
      <c r="F78" t="s">
        <v>213</v>
      </c>
      <c r="G78" s="6">
        <f t="shared" si="18"/>
        <v>5</v>
      </c>
      <c r="H78" t="s">
        <v>57</v>
      </c>
      <c r="I78" t="s">
        <v>26</v>
      </c>
      <c r="J78" s="5" t="s">
        <v>34</v>
      </c>
      <c r="L78" s="5" t="str">
        <f t="shared" si="19"/>
        <v>No</v>
      </c>
      <c r="N78"/>
      <c r="S78" s="5">
        <f t="shared" si="20"/>
        <v>5</v>
      </c>
      <c r="T78" s="5">
        <f t="shared" si="21"/>
        <v>5</v>
      </c>
      <c r="U78" s="5">
        <f t="shared" si="22"/>
        <v>1</v>
      </c>
      <c r="V78" s="82">
        <f>IF(ISBLANK(FeedbackTracker[[#This Row],[Date]]),"",INT(FeedbackTracker[[#This Row],[Date]]-WEEKDAY(FeedbackTracker[[#This Row],[Date]],2)+1))</f>
        <v>46013</v>
      </c>
    </row>
    <row r="79" spans="1:22" ht="26.4" hidden="1" customHeight="1" x14ac:dyDescent="0.3">
      <c r="A79" s="8">
        <v>115008303612</v>
      </c>
      <c r="B79" s="4">
        <v>46010.466539351852</v>
      </c>
      <c r="C79" t="s">
        <v>97</v>
      </c>
      <c r="D79" t="s">
        <v>452</v>
      </c>
      <c r="E79" t="s">
        <v>454</v>
      </c>
      <c r="F79" t="s">
        <v>233</v>
      </c>
      <c r="G79" s="6">
        <f t="shared" si="18"/>
        <v>3.5</v>
      </c>
      <c r="H79" t="s">
        <v>24</v>
      </c>
      <c r="I79" t="s">
        <v>25</v>
      </c>
      <c r="J79" s="5" t="s">
        <v>26</v>
      </c>
      <c r="K79" t="s">
        <v>234</v>
      </c>
      <c r="L79" s="5" t="str">
        <f t="shared" si="19"/>
        <v>No</v>
      </c>
      <c r="N79" t="s">
        <v>36</v>
      </c>
      <c r="O79" t="s">
        <v>63</v>
      </c>
      <c r="P79" s="7" t="s">
        <v>235</v>
      </c>
      <c r="S79" s="5">
        <f t="shared" si="20"/>
        <v>4</v>
      </c>
      <c r="T79" s="5">
        <f t="shared" si="21"/>
        <v>3</v>
      </c>
      <c r="U79" s="5">
        <f t="shared" si="22"/>
        <v>5</v>
      </c>
      <c r="V79" s="82">
        <f>IF(ISBLANK(FeedbackTracker[[#This Row],[Date]]),"",INT(FeedbackTracker[[#This Row],[Date]]-WEEKDAY(FeedbackTracker[[#This Row],[Date]],2)+1))</f>
        <v>46006</v>
      </c>
    </row>
    <row r="80" spans="1:22" ht="26.4" hidden="1" customHeight="1" x14ac:dyDescent="0.3">
      <c r="A80" s="8">
        <v>115008276429</v>
      </c>
      <c r="B80" s="4">
        <v>46010.397280092591</v>
      </c>
      <c r="C80" t="s">
        <v>236</v>
      </c>
      <c r="D80" t="s">
        <v>457</v>
      </c>
      <c r="E80" t="s">
        <v>454</v>
      </c>
      <c r="F80" t="s">
        <v>154</v>
      </c>
      <c r="G80" s="6">
        <f t="shared" si="18"/>
        <v>3.5</v>
      </c>
      <c r="H80" t="s">
        <v>24</v>
      </c>
      <c r="I80" t="s">
        <v>25</v>
      </c>
      <c r="J80" s="5" t="s">
        <v>26</v>
      </c>
      <c r="K80" t="s">
        <v>237</v>
      </c>
      <c r="L80" s="5" t="str">
        <f t="shared" si="19"/>
        <v>No</v>
      </c>
      <c r="M80" t="s">
        <v>217</v>
      </c>
      <c r="N80" t="s">
        <v>109</v>
      </c>
      <c r="P80" s="7" t="s">
        <v>238</v>
      </c>
      <c r="S80" s="5">
        <f t="shared" si="20"/>
        <v>4</v>
      </c>
      <c r="T80" s="5">
        <f t="shared" si="21"/>
        <v>3</v>
      </c>
      <c r="U80" s="5">
        <f t="shared" si="22"/>
        <v>5</v>
      </c>
      <c r="V80" s="82">
        <f>IF(ISBLANK(FeedbackTracker[[#This Row],[Date]]),"",INT(FeedbackTracker[[#This Row],[Date]]-WEEKDAY(FeedbackTracker[[#This Row],[Date]],2)+1))</f>
        <v>46006</v>
      </c>
    </row>
    <row r="81" spans="1:22" ht="26.4" hidden="1" customHeight="1" x14ac:dyDescent="0.3">
      <c r="A81" s="8">
        <v>115007761748</v>
      </c>
      <c r="B81" s="4">
        <v>46009.812719907408</v>
      </c>
      <c r="C81" t="s">
        <v>239</v>
      </c>
      <c r="D81" t="s">
        <v>457</v>
      </c>
      <c r="E81" t="s">
        <v>455</v>
      </c>
      <c r="F81" t="s">
        <v>154</v>
      </c>
      <c r="G81" s="6">
        <f t="shared" si="18"/>
        <v>5</v>
      </c>
      <c r="H81" t="s">
        <v>57</v>
      </c>
      <c r="I81" t="s">
        <v>26</v>
      </c>
      <c r="J81" s="5" t="s">
        <v>34</v>
      </c>
      <c r="K81" t="s">
        <v>240</v>
      </c>
      <c r="L81" s="5" t="str">
        <f t="shared" si="19"/>
        <v>No</v>
      </c>
      <c r="M81" t="s">
        <v>62</v>
      </c>
      <c r="N81"/>
      <c r="S81" s="5">
        <f t="shared" si="20"/>
        <v>5</v>
      </c>
      <c r="T81" s="5">
        <f t="shared" si="21"/>
        <v>5</v>
      </c>
      <c r="U81" s="5">
        <f t="shared" si="22"/>
        <v>1</v>
      </c>
      <c r="V81" s="82">
        <f>IF(ISBLANK(FeedbackTracker[[#This Row],[Date]]),"",INT(FeedbackTracker[[#This Row],[Date]]-WEEKDAY(FeedbackTracker[[#This Row],[Date]],2)+1))</f>
        <v>46006</v>
      </c>
    </row>
    <row r="82" spans="1:22" ht="26.4" customHeight="1" x14ac:dyDescent="0.3">
      <c r="A82" s="8">
        <v>115007336842</v>
      </c>
      <c r="B82" s="4">
        <v>46009.387071759258</v>
      </c>
      <c r="C82" t="s">
        <v>241</v>
      </c>
      <c r="D82" t="s">
        <v>452</v>
      </c>
      <c r="E82" t="s">
        <v>453</v>
      </c>
      <c r="F82" t="s">
        <v>242</v>
      </c>
      <c r="G82" s="6">
        <f t="shared" si="18"/>
        <v>4.5</v>
      </c>
      <c r="H82" t="s">
        <v>24</v>
      </c>
      <c r="I82" t="s">
        <v>26</v>
      </c>
      <c r="J82" s="5" t="s">
        <v>34</v>
      </c>
      <c r="K82" t="s">
        <v>243</v>
      </c>
      <c r="L82" s="5" t="str">
        <f t="shared" si="19"/>
        <v>No</v>
      </c>
      <c r="M82" t="s">
        <v>62</v>
      </c>
      <c r="N82"/>
      <c r="S82" s="5">
        <f t="shared" si="20"/>
        <v>4</v>
      </c>
      <c r="T82" s="5">
        <f t="shared" si="21"/>
        <v>5</v>
      </c>
      <c r="U82" s="5">
        <f t="shared" si="22"/>
        <v>1</v>
      </c>
      <c r="V82" s="82">
        <f>IF(ISBLANK(FeedbackTracker[[#This Row],[Date]]),"",INT(FeedbackTracker[[#This Row],[Date]]-WEEKDAY(FeedbackTracker[[#This Row],[Date]],2)+1))</f>
        <v>46006</v>
      </c>
    </row>
    <row r="83" spans="1:22" ht="26.4" hidden="1" customHeight="1" x14ac:dyDescent="0.3">
      <c r="A83" s="8">
        <v>115007336371</v>
      </c>
      <c r="B83" s="4">
        <v>46009.405659722222</v>
      </c>
      <c r="C83" t="s">
        <v>244</v>
      </c>
      <c r="D83" t="s">
        <v>457</v>
      </c>
      <c r="E83" t="s">
        <v>453</v>
      </c>
      <c r="F83" t="s">
        <v>38</v>
      </c>
      <c r="G83" s="6">
        <f t="shared" si="18"/>
        <v>3.5</v>
      </c>
      <c r="H83" t="s">
        <v>24</v>
      </c>
      <c r="I83" t="s">
        <v>25</v>
      </c>
      <c r="J83" s="5" t="s">
        <v>34</v>
      </c>
      <c r="K83" t="s">
        <v>245</v>
      </c>
      <c r="L83" s="5" t="str">
        <f t="shared" si="19"/>
        <v>No</v>
      </c>
      <c r="N83" t="s">
        <v>217</v>
      </c>
      <c r="O83" t="s">
        <v>217</v>
      </c>
      <c r="P83" s="7" t="s">
        <v>217</v>
      </c>
      <c r="S83" s="5">
        <f t="shared" si="20"/>
        <v>4</v>
      </c>
      <c r="T83" s="5">
        <f t="shared" si="21"/>
        <v>3</v>
      </c>
      <c r="U83" s="5">
        <f t="shared" si="22"/>
        <v>1</v>
      </c>
      <c r="V83" s="82">
        <f>IF(ISBLANK(FeedbackTracker[[#This Row],[Date]]),"",INT(FeedbackTracker[[#This Row],[Date]]-WEEKDAY(FeedbackTracker[[#This Row],[Date]],2)+1))</f>
        <v>46006</v>
      </c>
    </row>
    <row r="84" spans="1:22" ht="26.4" hidden="1" customHeight="1" x14ac:dyDescent="0.3">
      <c r="A84" s="8">
        <v>115007335452</v>
      </c>
      <c r="B84" s="4">
        <v>46009.402719907404</v>
      </c>
      <c r="C84" t="s">
        <v>244</v>
      </c>
      <c r="D84" t="s">
        <v>457</v>
      </c>
      <c r="E84" t="s">
        <v>453</v>
      </c>
      <c r="F84" t="s">
        <v>38</v>
      </c>
      <c r="G84" s="6">
        <f t="shared" si="18"/>
        <v>3.5</v>
      </c>
      <c r="H84" t="s">
        <v>24</v>
      </c>
      <c r="I84" t="s">
        <v>25</v>
      </c>
      <c r="J84" s="5" t="s">
        <v>34</v>
      </c>
      <c r="K84" t="s">
        <v>246</v>
      </c>
      <c r="L84" s="5" t="str">
        <f t="shared" si="19"/>
        <v>No</v>
      </c>
      <c r="N84" t="s">
        <v>36</v>
      </c>
      <c r="O84" t="s">
        <v>63</v>
      </c>
      <c r="P84" s="7" t="s">
        <v>247</v>
      </c>
      <c r="S84" s="5">
        <f t="shared" si="20"/>
        <v>4</v>
      </c>
      <c r="T84" s="5">
        <f t="shared" si="21"/>
        <v>3</v>
      </c>
      <c r="U84" s="5">
        <f t="shared" si="22"/>
        <v>1</v>
      </c>
      <c r="V84" s="82">
        <f>IF(ISBLANK(FeedbackTracker[[#This Row],[Date]]),"",INT(FeedbackTracker[[#This Row],[Date]]-WEEKDAY(FeedbackTracker[[#This Row],[Date]],2)+1))</f>
        <v>46006</v>
      </c>
    </row>
    <row r="85" spans="1:22" ht="26.4" hidden="1" customHeight="1" x14ac:dyDescent="0.3">
      <c r="A85" s="8">
        <v>115007047056</v>
      </c>
      <c r="B85" s="4">
        <v>46009.008692129632</v>
      </c>
      <c r="C85" t="s">
        <v>248</v>
      </c>
      <c r="D85" t="s">
        <v>452</v>
      </c>
      <c r="E85" t="s">
        <v>454</v>
      </c>
      <c r="F85" t="s">
        <v>249</v>
      </c>
      <c r="G85" s="6">
        <f t="shared" si="18"/>
        <v>3</v>
      </c>
      <c r="H85" t="s">
        <v>42</v>
      </c>
      <c r="I85" t="s">
        <v>25</v>
      </c>
      <c r="J85" s="5" t="s">
        <v>26</v>
      </c>
      <c r="K85" s="7" t="s">
        <v>250</v>
      </c>
      <c r="L85" s="5" t="str">
        <f t="shared" si="19"/>
        <v>Yes</v>
      </c>
      <c r="M85" t="s">
        <v>62</v>
      </c>
      <c r="N85" t="s">
        <v>36</v>
      </c>
      <c r="O85" t="s">
        <v>70</v>
      </c>
      <c r="P85" s="7" t="s">
        <v>251</v>
      </c>
      <c r="S85" s="5">
        <f t="shared" si="20"/>
        <v>3</v>
      </c>
      <c r="T85" s="5">
        <f t="shared" si="21"/>
        <v>3</v>
      </c>
      <c r="U85" s="5">
        <f t="shared" si="22"/>
        <v>5</v>
      </c>
      <c r="V85" s="82">
        <f>IF(ISBLANK(FeedbackTracker[[#This Row],[Date]]),"",INT(FeedbackTracker[[#This Row],[Date]]-WEEKDAY(FeedbackTracker[[#This Row],[Date]],2)+1))</f>
        <v>46006</v>
      </c>
    </row>
    <row r="86" spans="1:22" ht="26.4" hidden="1" customHeight="1" x14ac:dyDescent="0.3">
      <c r="A86" s="8">
        <v>115006771773</v>
      </c>
      <c r="B86" s="4">
        <v>46008.72351851852</v>
      </c>
      <c r="C86" t="s">
        <v>100</v>
      </c>
      <c r="D86" t="s">
        <v>452</v>
      </c>
      <c r="E86" t="s">
        <v>455</v>
      </c>
      <c r="F86" t="s">
        <v>38</v>
      </c>
      <c r="G86" s="6">
        <f t="shared" si="18"/>
        <v>4.5</v>
      </c>
      <c r="H86" t="s">
        <v>24</v>
      </c>
      <c r="I86" t="s">
        <v>26</v>
      </c>
      <c r="J86" s="5" t="s">
        <v>34</v>
      </c>
      <c r="K86" t="s">
        <v>252</v>
      </c>
      <c r="L86" s="5" t="str">
        <f t="shared" si="19"/>
        <v>No</v>
      </c>
      <c r="M86" t="s">
        <v>253</v>
      </c>
      <c r="N86"/>
      <c r="S86" s="5">
        <f t="shared" si="20"/>
        <v>4</v>
      </c>
      <c r="T86" s="5">
        <f t="shared" si="21"/>
        <v>5</v>
      </c>
      <c r="U86" s="5">
        <f t="shared" si="22"/>
        <v>1</v>
      </c>
      <c r="V86" s="82">
        <f>IF(ISBLANK(FeedbackTracker[[#This Row],[Date]]),"",INT(FeedbackTracker[[#This Row],[Date]]-WEEKDAY(FeedbackTracker[[#This Row],[Date]],2)+1))</f>
        <v>46006</v>
      </c>
    </row>
    <row r="87" spans="1:22" ht="26.4" hidden="1" customHeight="1" x14ac:dyDescent="0.3">
      <c r="A87" s="8">
        <v>115006769848</v>
      </c>
      <c r="B87" s="4">
        <v>46008.717777777776</v>
      </c>
      <c r="C87" t="s">
        <v>100</v>
      </c>
      <c r="D87" t="s">
        <v>452</v>
      </c>
      <c r="E87" t="s">
        <v>455</v>
      </c>
      <c r="F87" t="s">
        <v>154</v>
      </c>
      <c r="G87" s="6">
        <f t="shared" si="18"/>
        <v>4.5</v>
      </c>
      <c r="H87" t="s">
        <v>24</v>
      </c>
      <c r="I87" t="s">
        <v>26</v>
      </c>
      <c r="J87" s="5" t="s">
        <v>34</v>
      </c>
      <c r="K87" t="s">
        <v>254</v>
      </c>
      <c r="L87" s="5" t="str">
        <f t="shared" si="19"/>
        <v>No</v>
      </c>
      <c r="M87" t="s">
        <v>62</v>
      </c>
      <c r="N87"/>
      <c r="S87" s="5">
        <f t="shared" si="20"/>
        <v>4</v>
      </c>
      <c r="T87" s="5">
        <f t="shared" si="21"/>
        <v>5</v>
      </c>
      <c r="U87" s="5">
        <f t="shared" si="22"/>
        <v>1</v>
      </c>
      <c r="V87" s="82">
        <f>IF(ISBLANK(FeedbackTracker[[#This Row],[Date]]),"",INT(FeedbackTracker[[#This Row],[Date]]-WEEKDAY(FeedbackTracker[[#This Row],[Date]],2)+1))</f>
        <v>46006</v>
      </c>
    </row>
    <row r="88" spans="1:22" ht="26.4" hidden="1" customHeight="1" x14ac:dyDescent="0.3">
      <c r="A88" s="8">
        <v>115006767952</v>
      </c>
      <c r="B88" s="4">
        <v>46008.718472222223</v>
      </c>
      <c r="C88" t="s">
        <v>255</v>
      </c>
      <c r="D88" t="s">
        <v>457</v>
      </c>
      <c r="E88" t="s">
        <v>455</v>
      </c>
      <c r="F88" t="s">
        <v>256</v>
      </c>
      <c r="G88" s="6">
        <f t="shared" si="18"/>
        <v>1.5</v>
      </c>
      <c r="H88" t="s">
        <v>107</v>
      </c>
      <c r="I88" t="s">
        <v>34</v>
      </c>
      <c r="J88" s="5" t="s">
        <v>26</v>
      </c>
      <c r="K88" s="7" t="s">
        <v>257</v>
      </c>
      <c r="L88" s="5" t="str">
        <f t="shared" si="19"/>
        <v>Yes</v>
      </c>
      <c r="M88" t="s">
        <v>217</v>
      </c>
      <c r="N88" t="s">
        <v>36</v>
      </c>
      <c r="O88" t="s">
        <v>70</v>
      </c>
      <c r="P88" s="7" t="s">
        <v>258</v>
      </c>
      <c r="S88" s="5">
        <f t="shared" si="20"/>
        <v>2</v>
      </c>
      <c r="T88" s="5">
        <f t="shared" si="21"/>
        <v>1</v>
      </c>
      <c r="U88" s="5">
        <f t="shared" si="22"/>
        <v>5</v>
      </c>
      <c r="V88" s="82">
        <f>IF(ISBLANK(FeedbackTracker[[#This Row],[Date]]),"",INT(FeedbackTracker[[#This Row],[Date]]-WEEKDAY(FeedbackTracker[[#This Row],[Date]],2)+1))</f>
        <v>46006</v>
      </c>
    </row>
    <row r="89" spans="1:22" ht="26.4" hidden="1" customHeight="1" x14ac:dyDescent="0.3">
      <c r="A89" s="8">
        <v>115006766979</v>
      </c>
      <c r="B89" s="4">
        <v>46008.717731481483</v>
      </c>
      <c r="C89" t="s">
        <v>255</v>
      </c>
      <c r="D89" t="s">
        <v>457</v>
      </c>
      <c r="E89" t="s">
        <v>455</v>
      </c>
      <c r="F89" t="s">
        <v>86</v>
      </c>
      <c r="G89" s="6">
        <f t="shared" si="18"/>
        <v>4</v>
      </c>
      <c r="H89" t="s">
        <v>42</v>
      </c>
      <c r="I89" t="s">
        <v>26</v>
      </c>
      <c r="J89" s="5" t="s">
        <v>34</v>
      </c>
      <c r="L89" s="5" t="str">
        <f t="shared" si="19"/>
        <v>No</v>
      </c>
      <c r="M89" t="s">
        <v>62</v>
      </c>
      <c r="N89" s="7" t="s">
        <v>253</v>
      </c>
      <c r="P89" s="7" t="s">
        <v>259</v>
      </c>
      <c r="S89" s="5">
        <f t="shared" si="20"/>
        <v>3</v>
      </c>
      <c r="T89" s="5">
        <f t="shared" si="21"/>
        <v>5</v>
      </c>
      <c r="U89" s="5">
        <f t="shared" si="22"/>
        <v>1</v>
      </c>
      <c r="V89" s="82">
        <f>IF(ISBLANK(FeedbackTracker[[#This Row],[Date]]),"",INT(FeedbackTracker[[#This Row],[Date]]-WEEKDAY(FeedbackTracker[[#This Row],[Date]],2)+1))</f>
        <v>46006</v>
      </c>
    </row>
    <row r="90" spans="1:22" ht="26.4" hidden="1" customHeight="1" x14ac:dyDescent="0.3">
      <c r="A90" s="8">
        <v>115006764647</v>
      </c>
      <c r="B90" s="4">
        <v>46008.707986111112</v>
      </c>
      <c r="C90" t="s">
        <v>260</v>
      </c>
      <c r="D90" t="s">
        <v>457</v>
      </c>
      <c r="E90" t="s">
        <v>455</v>
      </c>
      <c r="F90" t="s">
        <v>196</v>
      </c>
      <c r="G90" s="6">
        <f t="shared" si="18"/>
        <v>3</v>
      </c>
      <c r="H90" t="s">
        <v>42</v>
      </c>
      <c r="I90" t="s">
        <v>25</v>
      </c>
      <c r="J90" s="5" t="s">
        <v>26</v>
      </c>
      <c r="K90" s="7" t="s">
        <v>261</v>
      </c>
      <c r="L90" s="5" t="str">
        <f t="shared" si="19"/>
        <v>Yes</v>
      </c>
      <c r="N90" t="s">
        <v>36</v>
      </c>
      <c r="O90" t="s">
        <v>70</v>
      </c>
      <c r="P90" s="7" t="s">
        <v>262</v>
      </c>
      <c r="S90" s="5">
        <f t="shared" si="20"/>
        <v>3</v>
      </c>
      <c r="T90" s="5">
        <f t="shared" si="21"/>
        <v>3</v>
      </c>
      <c r="U90" s="5">
        <f t="shared" si="22"/>
        <v>5</v>
      </c>
      <c r="V90" s="82">
        <f>IF(ISBLANK(FeedbackTracker[[#This Row],[Date]]),"",INT(FeedbackTracker[[#This Row],[Date]]-WEEKDAY(FeedbackTracker[[#This Row],[Date]],2)+1))</f>
        <v>46006</v>
      </c>
    </row>
    <row r="91" spans="1:22" ht="26.4" hidden="1" customHeight="1" x14ac:dyDescent="0.3">
      <c r="A91" s="8">
        <v>115006760019</v>
      </c>
      <c r="B91" s="4">
        <v>46008.704930555556</v>
      </c>
      <c r="C91" t="s">
        <v>263</v>
      </c>
      <c r="D91" t="s">
        <v>457</v>
      </c>
      <c r="E91" t="s">
        <v>461</v>
      </c>
      <c r="F91" t="s">
        <v>264</v>
      </c>
      <c r="G91" s="6">
        <f t="shared" si="18"/>
        <v>1.5</v>
      </c>
      <c r="H91" t="s">
        <v>107</v>
      </c>
      <c r="I91" t="s">
        <v>34</v>
      </c>
      <c r="J91" s="5" t="s">
        <v>34</v>
      </c>
      <c r="K91" t="s">
        <v>265</v>
      </c>
      <c r="L91" s="5" t="str">
        <f t="shared" si="19"/>
        <v>Yes</v>
      </c>
      <c r="N91"/>
      <c r="O91" t="s">
        <v>217</v>
      </c>
      <c r="P91" s="7" t="s">
        <v>217</v>
      </c>
      <c r="S91" s="5">
        <f t="shared" si="20"/>
        <v>2</v>
      </c>
      <c r="T91" s="5">
        <f t="shared" si="21"/>
        <v>1</v>
      </c>
      <c r="U91" s="5">
        <f t="shared" si="22"/>
        <v>1</v>
      </c>
      <c r="V91" s="82">
        <f>IF(ISBLANK(FeedbackTracker[[#This Row],[Date]]),"",INT(FeedbackTracker[[#This Row],[Date]]-WEEKDAY(FeedbackTracker[[#This Row],[Date]],2)+1))</f>
        <v>46006</v>
      </c>
    </row>
    <row r="92" spans="1:22" ht="26.4" hidden="1" customHeight="1" x14ac:dyDescent="0.3">
      <c r="A92" s="8">
        <v>115006758570</v>
      </c>
      <c r="B92" s="4">
        <v>46008.664722222224</v>
      </c>
      <c r="C92" t="s">
        <v>263</v>
      </c>
      <c r="D92" t="s">
        <v>457</v>
      </c>
      <c r="E92" t="s">
        <v>461</v>
      </c>
      <c r="F92" t="s">
        <v>196</v>
      </c>
      <c r="G92" s="6">
        <f t="shared" si="18"/>
        <v>2</v>
      </c>
      <c r="H92" t="s">
        <v>42</v>
      </c>
      <c r="I92" t="s">
        <v>34</v>
      </c>
      <c r="J92" s="5" t="s">
        <v>34</v>
      </c>
      <c r="K92" t="s">
        <v>266</v>
      </c>
      <c r="L92" s="5" t="str">
        <f t="shared" si="19"/>
        <v>Yes</v>
      </c>
      <c r="N92" t="s">
        <v>36</v>
      </c>
      <c r="O92" t="s">
        <v>70</v>
      </c>
      <c r="P92" s="7" t="s">
        <v>267</v>
      </c>
      <c r="S92" s="5">
        <f t="shared" si="20"/>
        <v>3</v>
      </c>
      <c r="T92" s="5">
        <f t="shared" si="21"/>
        <v>1</v>
      </c>
      <c r="U92" s="5">
        <f t="shared" si="22"/>
        <v>1</v>
      </c>
      <c r="V92" s="82">
        <f>IF(ISBLANK(FeedbackTracker[[#This Row],[Date]]),"",INT(FeedbackTracker[[#This Row],[Date]]-WEEKDAY(FeedbackTracker[[#This Row],[Date]],2)+1))</f>
        <v>46006</v>
      </c>
    </row>
    <row r="93" spans="1:22" ht="26.4" hidden="1" customHeight="1" x14ac:dyDescent="0.3">
      <c r="A93" s="8">
        <v>115006731217</v>
      </c>
      <c r="B93" s="4">
        <v>46008.654756944445</v>
      </c>
      <c r="C93" t="s">
        <v>55</v>
      </c>
      <c r="D93" t="s">
        <v>452</v>
      </c>
      <c r="E93" t="s">
        <v>453</v>
      </c>
      <c r="F93" t="s">
        <v>268</v>
      </c>
      <c r="G93" s="6">
        <f t="shared" si="18"/>
        <v>4.5</v>
      </c>
      <c r="H93" t="s">
        <v>24</v>
      </c>
      <c r="I93" t="s">
        <v>26</v>
      </c>
      <c r="J93" s="5" t="s">
        <v>34</v>
      </c>
      <c r="K93" t="s">
        <v>269</v>
      </c>
      <c r="L93" s="5" t="str">
        <f t="shared" si="19"/>
        <v>No</v>
      </c>
      <c r="N93"/>
      <c r="S93" s="5">
        <f t="shared" si="20"/>
        <v>4</v>
      </c>
      <c r="T93" s="5">
        <f t="shared" si="21"/>
        <v>5</v>
      </c>
      <c r="U93" s="5">
        <f t="shared" si="22"/>
        <v>1</v>
      </c>
      <c r="V93" s="82">
        <f>IF(ISBLANK(FeedbackTracker[[#This Row],[Date]]),"",INT(FeedbackTracker[[#This Row],[Date]]-WEEKDAY(FeedbackTracker[[#This Row],[Date]],2)+1))</f>
        <v>46006</v>
      </c>
    </row>
    <row r="94" spans="1:22" ht="26.4" hidden="1" customHeight="1" x14ac:dyDescent="0.3">
      <c r="A94" s="8">
        <v>115006727644</v>
      </c>
      <c r="B94" s="4">
        <v>46008.65215277778</v>
      </c>
      <c r="C94" t="s">
        <v>156</v>
      </c>
      <c r="D94" t="s">
        <v>452</v>
      </c>
      <c r="E94" t="s">
        <v>458</v>
      </c>
      <c r="F94" t="s">
        <v>38</v>
      </c>
      <c r="G94" s="6">
        <f t="shared" si="18"/>
        <v>4.5</v>
      </c>
      <c r="H94" t="s">
        <v>24</v>
      </c>
      <c r="I94" t="s">
        <v>26</v>
      </c>
      <c r="J94" s="5" t="s">
        <v>34</v>
      </c>
      <c r="K94" t="s">
        <v>270</v>
      </c>
      <c r="L94" s="5" t="str">
        <f t="shared" si="19"/>
        <v>No</v>
      </c>
      <c r="N94"/>
      <c r="S94" s="5">
        <f t="shared" si="20"/>
        <v>4</v>
      </c>
      <c r="T94" s="5">
        <f t="shared" si="21"/>
        <v>5</v>
      </c>
      <c r="U94" s="5">
        <f t="shared" si="22"/>
        <v>1</v>
      </c>
      <c r="V94" s="82">
        <f>IF(ISBLANK(FeedbackTracker[[#This Row],[Date]]),"",INT(FeedbackTracker[[#This Row],[Date]]-WEEKDAY(FeedbackTracker[[#This Row],[Date]],2)+1))</f>
        <v>46006</v>
      </c>
    </row>
    <row r="95" spans="1:22" ht="26.4" hidden="1" customHeight="1" x14ac:dyDescent="0.3">
      <c r="A95" s="8">
        <v>115006724700</v>
      </c>
      <c r="B95" s="4">
        <v>46008.647685185184</v>
      </c>
      <c r="C95" t="s">
        <v>271</v>
      </c>
      <c r="D95" t="s">
        <v>452</v>
      </c>
      <c r="E95" t="s">
        <v>455</v>
      </c>
      <c r="F95" t="s">
        <v>166</v>
      </c>
      <c r="G95" s="6">
        <f t="shared" si="18"/>
        <v>4.5</v>
      </c>
      <c r="H95" t="s">
        <v>24</v>
      </c>
      <c r="I95" t="s">
        <v>26</v>
      </c>
      <c r="J95" s="5" t="s">
        <v>34</v>
      </c>
      <c r="K95" t="s">
        <v>272</v>
      </c>
      <c r="L95" s="5" t="str">
        <f t="shared" si="19"/>
        <v>No</v>
      </c>
      <c r="M95" t="s">
        <v>62</v>
      </c>
      <c r="N95"/>
      <c r="S95" s="5">
        <f t="shared" si="20"/>
        <v>4</v>
      </c>
      <c r="T95" s="5">
        <f t="shared" si="21"/>
        <v>5</v>
      </c>
      <c r="U95" s="5">
        <f t="shared" si="22"/>
        <v>1</v>
      </c>
      <c r="V95" s="82">
        <f>IF(ISBLANK(FeedbackTracker[[#This Row],[Date]]),"",INT(FeedbackTracker[[#This Row],[Date]]-WEEKDAY(FeedbackTracker[[#This Row],[Date]],2)+1))</f>
        <v>46006</v>
      </c>
    </row>
    <row r="96" spans="1:22" ht="26.4" hidden="1" customHeight="1" x14ac:dyDescent="0.3">
      <c r="A96" s="8">
        <v>115006697342</v>
      </c>
      <c r="B96" s="4">
        <v>46008.603229166663</v>
      </c>
      <c r="C96" t="s">
        <v>162</v>
      </c>
      <c r="D96" t="s">
        <v>452</v>
      </c>
      <c r="E96" t="s">
        <v>453</v>
      </c>
      <c r="F96" t="s">
        <v>163</v>
      </c>
      <c r="G96" s="6">
        <f t="shared" si="18"/>
        <v>4.5</v>
      </c>
      <c r="H96" t="s">
        <v>24</v>
      </c>
      <c r="I96" t="s">
        <v>26</v>
      </c>
      <c r="J96" s="5" t="s">
        <v>34</v>
      </c>
      <c r="K96" t="s">
        <v>273</v>
      </c>
      <c r="L96" s="5" t="str">
        <f t="shared" si="19"/>
        <v>No</v>
      </c>
      <c r="N96"/>
      <c r="S96" s="5">
        <f t="shared" si="20"/>
        <v>4</v>
      </c>
      <c r="T96" s="5">
        <f t="shared" si="21"/>
        <v>5</v>
      </c>
      <c r="U96" s="5">
        <f t="shared" si="22"/>
        <v>1</v>
      </c>
      <c r="V96" s="82">
        <f>IF(ISBLANK(FeedbackTracker[[#This Row],[Date]]),"",INT(FeedbackTracker[[#This Row],[Date]]-WEEKDAY(FeedbackTracker[[#This Row],[Date]],2)+1))</f>
        <v>46006</v>
      </c>
    </row>
    <row r="97" spans="1:22" ht="26.4" hidden="1" customHeight="1" x14ac:dyDescent="0.3">
      <c r="A97" s="8">
        <v>115006696828</v>
      </c>
      <c r="B97" s="4">
        <v>46008.605902777781</v>
      </c>
      <c r="C97" t="s">
        <v>162</v>
      </c>
      <c r="D97" t="s">
        <v>452</v>
      </c>
      <c r="E97" t="s">
        <v>453</v>
      </c>
      <c r="F97" t="s">
        <v>210</v>
      </c>
      <c r="G97" s="6">
        <f t="shared" ref="G97:G110" si="23">AVERAGE(S97:T97)</f>
        <v>4.5</v>
      </c>
      <c r="H97" t="s">
        <v>24</v>
      </c>
      <c r="I97" t="s">
        <v>26</v>
      </c>
      <c r="J97" s="5" t="s">
        <v>34</v>
      </c>
      <c r="K97" t="s">
        <v>273</v>
      </c>
      <c r="L97" s="5" t="str">
        <f t="shared" si="19"/>
        <v>No</v>
      </c>
      <c r="N97"/>
      <c r="S97" s="5">
        <f t="shared" si="20"/>
        <v>4</v>
      </c>
      <c r="T97" s="5">
        <f t="shared" si="21"/>
        <v>5</v>
      </c>
      <c r="U97" s="5">
        <f t="shared" si="22"/>
        <v>1</v>
      </c>
      <c r="V97" s="82">
        <f>IF(ISBLANK(FeedbackTracker[[#This Row],[Date]]),"",INT(FeedbackTracker[[#This Row],[Date]]-WEEKDAY(FeedbackTracker[[#This Row],[Date]],2)+1))</f>
        <v>46006</v>
      </c>
    </row>
    <row r="98" spans="1:22" ht="26.4" hidden="1" customHeight="1" x14ac:dyDescent="0.3">
      <c r="A98" s="8">
        <v>115006665803</v>
      </c>
      <c r="B98" s="4">
        <v>46008.556759259256</v>
      </c>
      <c r="C98" t="s">
        <v>132</v>
      </c>
      <c r="D98" t="s">
        <v>457</v>
      </c>
      <c r="E98" t="s">
        <v>455</v>
      </c>
      <c r="F98" t="s">
        <v>152</v>
      </c>
      <c r="G98" s="6">
        <f t="shared" si="23"/>
        <v>3</v>
      </c>
      <c r="H98" t="s">
        <v>42</v>
      </c>
      <c r="I98" t="s">
        <v>25</v>
      </c>
      <c r="J98" s="5" t="s">
        <v>26</v>
      </c>
      <c r="L98" s="5" t="str">
        <f t="shared" si="19"/>
        <v>Yes</v>
      </c>
      <c r="N98" s="7" t="s">
        <v>36</v>
      </c>
      <c r="O98" t="s">
        <v>172</v>
      </c>
      <c r="P98" s="7" t="s">
        <v>274</v>
      </c>
      <c r="S98" s="5">
        <f t="shared" si="20"/>
        <v>3</v>
      </c>
      <c r="T98" s="5">
        <f t="shared" si="21"/>
        <v>3</v>
      </c>
      <c r="U98" s="5">
        <f t="shared" si="22"/>
        <v>5</v>
      </c>
      <c r="V98" s="82">
        <f>IF(ISBLANK(FeedbackTracker[[#This Row],[Date]]),"",INT(FeedbackTracker[[#This Row],[Date]]-WEEKDAY(FeedbackTracker[[#This Row],[Date]],2)+1))</f>
        <v>46006</v>
      </c>
    </row>
    <row r="99" spans="1:22" ht="26.4" hidden="1" customHeight="1" x14ac:dyDescent="0.3">
      <c r="A99" s="8">
        <v>115006614055</v>
      </c>
      <c r="B99" s="4">
        <v>46008.451388888891</v>
      </c>
      <c r="C99" t="s">
        <v>195</v>
      </c>
      <c r="D99" t="s">
        <v>457</v>
      </c>
      <c r="E99" t="s">
        <v>455</v>
      </c>
      <c r="F99" t="s">
        <v>152</v>
      </c>
      <c r="G99" s="6">
        <f t="shared" si="23"/>
        <v>4.5</v>
      </c>
      <c r="H99" t="s">
        <v>24</v>
      </c>
      <c r="I99" t="s">
        <v>26</v>
      </c>
      <c r="J99" s="5" t="s">
        <v>34</v>
      </c>
      <c r="K99" t="s">
        <v>275</v>
      </c>
      <c r="L99" s="5" t="str">
        <f t="shared" si="19"/>
        <v>No</v>
      </c>
      <c r="N99"/>
      <c r="S99" s="5">
        <f t="shared" si="20"/>
        <v>4</v>
      </c>
      <c r="T99" s="5">
        <f t="shared" si="21"/>
        <v>5</v>
      </c>
      <c r="U99" s="5">
        <f t="shared" si="22"/>
        <v>1</v>
      </c>
      <c r="V99" s="82">
        <f>IF(ISBLANK(FeedbackTracker[[#This Row],[Date]]),"",INT(FeedbackTracker[[#This Row],[Date]]-WEEKDAY(FeedbackTracker[[#This Row],[Date]],2)+1))</f>
        <v>46006</v>
      </c>
    </row>
    <row r="100" spans="1:22" ht="26.4" hidden="1" customHeight="1" x14ac:dyDescent="0.3">
      <c r="A100" s="8">
        <v>115006165834</v>
      </c>
      <c r="B100" s="4">
        <v>46007.905300925922</v>
      </c>
      <c r="C100" t="s">
        <v>276</v>
      </c>
      <c r="D100" t="s">
        <v>452</v>
      </c>
      <c r="E100" t="s">
        <v>455</v>
      </c>
      <c r="F100" t="s">
        <v>152</v>
      </c>
      <c r="G100" s="6">
        <f t="shared" si="23"/>
        <v>4.5</v>
      </c>
      <c r="H100" t="s">
        <v>24</v>
      </c>
      <c r="I100" t="s">
        <v>26</v>
      </c>
      <c r="J100" s="5" t="s">
        <v>34</v>
      </c>
      <c r="K100" t="s">
        <v>277</v>
      </c>
      <c r="L100" s="5" t="str">
        <f t="shared" si="19"/>
        <v>No</v>
      </c>
      <c r="M100" t="s">
        <v>62</v>
      </c>
      <c r="N100"/>
      <c r="S100" s="5">
        <f t="shared" si="20"/>
        <v>4</v>
      </c>
      <c r="T100" s="5">
        <f t="shared" si="21"/>
        <v>5</v>
      </c>
      <c r="U100" s="5">
        <f t="shared" si="22"/>
        <v>1</v>
      </c>
      <c r="V100" s="82">
        <f>IF(ISBLANK(FeedbackTracker[[#This Row],[Date]]),"",INT(FeedbackTracker[[#This Row],[Date]]-WEEKDAY(FeedbackTracker[[#This Row],[Date]],2)+1))</f>
        <v>46006</v>
      </c>
    </row>
    <row r="101" spans="1:22" ht="26.4" hidden="1" customHeight="1" x14ac:dyDescent="0.3">
      <c r="A101" s="8">
        <v>115006163361</v>
      </c>
      <c r="B101" s="4">
        <v>46007.903263888889</v>
      </c>
      <c r="C101" t="s">
        <v>278</v>
      </c>
      <c r="D101" t="s">
        <v>452</v>
      </c>
      <c r="E101" t="s">
        <v>454</v>
      </c>
      <c r="F101" t="s">
        <v>279</v>
      </c>
      <c r="G101" s="6">
        <f t="shared" si="23"/>
        <v>4.5</v>
      </c>
      <c r="H101" t="s">
        <v>24</v>
      </c>
      <c r="I101" t="s">
        <v>26</v>
      </c>
      <c r="J101" s="5" t="s">
        <v>34</v>
      </c>
      <c r="K101" t="s">
        <v>280</v>
      </c>
      <c r="L101" s="5" t="str">
        <f t="shared" si="19"/>
        <v>No</v>
      </c>
      <c r="M101" t="s">
        <v>62</v>
      </c>
      <c r="N101"/>
      <c r="S101" s="5">
        <f t="shared" si="20"/>
        <v>4</v>
      </c>
      <c r="T101" s="5">
        <f t="shared" si="21"/>
        <v>5</v>
      </c>
      <c r="U101" s="5">
        <f t="shared" si="22"/>
        <v>1</v>
      </c>
      <c r="V101" s="82">
        <f>IF(ISBLANK(FeedbackTracker[[#This Row],[Date]]),"",INT(FeedbackTracker[[#This Row],[Date]]-WEEKDAY(FeedbackTracker[[#This Row],[Date]],2)+1))</f>
        <v>46006</v>
      </c>
    </row>
    <row r="102" spans="1:22" ht="26.4" hidden="1" customHeight="1" x14ac:dyDescent="0.3">
      <c r="A102" s="8">
        <v>115006030516</v>
      </c>
      <c r="B102" s="4">
        <v>46007.776979166665</v>
      </c>
      <c r="C102" t="s">
        <v>281</v>
      </c>
      <c r="D102" t="s">
        <v>457</v>
      </c>
      <c r="E102" t="s">
        <v>455</v>
      </c>
      <c r="F102" t="s">
        <v>196</v>
      </c>
      <c r="G102" s="6">
        <f t="shared" si="23"/>
        <v>4.5</v>
      </c>
      <c r="H102" t="s">
        <v>24</v>
      </c>
      <c r="I102" t="s">
        <v>26</v>
      </c>
      <c r="J102" s="5" t="s">
        <v>26</v>
      </c>
      <c r="K102" t="s">
        <v>282</v>
      </c>
      <c r="L102" s="5" t="str">
        <f t="shared" si="19"/>
        <v>No</v>
      </c>
      <c r="N102"/>
      <c r="S102" s="5">
        <f t="shared" si="20"/>
        <v>4</v>
      </c>
      <c r="T102" s="5">
        <f t="shared" si="21"/>
        <v>5</v>
      </c>
      <c r="U102" s="5">
        <f t="shared" si="22"/>
        <v>5</v>
      </c>
      <c r="V102" s="82">
        <f>IF(ISBLANK(FeedbackTracker[[#This Row],[Date]]),"",INT(FeedbackTracker[[#This Row],[Date]]-WEEKDAY(FeedbackTracker[[#This Row],[Date]],2)+1))</f>
        <v>46006</v>
      </c>
    </row>
    <row r="103" spans="1:22" ht="26.4" hidden="1" customHeight="1" x14ac:dyDescent="0.3">
      <c r="A103" s="8">
        <v>115006013586</v>
      </c>
      <c r="B103" s="4">
        <v>46007.759409722225</v>
      </c>
      <c r="C103" t="s">
        <v>212</v>
      </c>
      <c r="D103" t="s">
        <v>452</v>
      </c>
      <c r="E103" t="s">
        <v>455</v>
      </c>
      <c r="F103" t="s">
        <v>38</v>
      </c>
      <c r="G103" s="6">
        <f t="shared" si="23"/>
        <v>4</v>
      </c>
      <c r="H103" t="s">
        <v>57</v>
      </c>
      <c r="I103" t="s">
        <v>25</v>
      </c>
      <c r="J103" s="5" t="s">
        <v>26</v>
      </c>
      <c r="K103" t="s">
        <v>283</v>
      </c>
      <c r="L103" s="5" t="str">
        <f t="shared" si="19"/>
        <v>No</v>
      </c>
      <c r="M103" t="s">
        <v>62</v>
      </c>
      <c r="N103" t="s">
        <v>36</v>
      </c>
      <c r="O103" t="s">
        <v>63</v>
      </c>
      <c r="P103" s="7" t="s">
        <v>284</v>
      </c>
      <c r="S103" s="5">
        <f t="shared" si="20"/>
        <v>5</v>
      </c>
      <c r="T103" s="5">
        <f t="shared" si="21"/>
        <v>3</v>
      </c>
      <c r="U103" s="5">
        <f t="shared" si="22"/>
        <v>5</v>
      </c>
      <c r="V103" s="82">
        <f>IF(ISBLANK(FeedbackTracker[[#This Row],[Date]]),"",INT(FeedbackTracker[[#This Row],[Date]]-WEEKDAY(FeedbackTracker[[#This Row],[Date]],2)+1))</f>
        <v>46006</v>
      </c>
    </row>
    <row r="104" spans="1:22" ht="26.4" hidden="1" customHeight="1" x14ac:dyDescent="0.3">
      <c r="A104" s="8">
        <v>115006004834</v>
      </c>
      <c r="B104" s="4">
        <v>46007.747395833336</v>
      </c>
      <c r="C104" t="s">
        <v>184</v>
      </c>
      <c r="D104" t="s">
        <v>457</v>
      </c>
      <c r="E104" t="s">
        <v>453</v>
      </c>
      <c r="F104" t="s">
        <v>285</v>
      </c>
      <c r="G104" s="6">
        <f t="shared" si="23"/>
        <v>3</v>
      </c>
      <c r="H104" t="s">
        <v>42</v>
      </c>
      <c r="I104" t="s">
        <v>25</v>
      </c>
      <c r="J104" s="5" t="s">
        <v>34</v>
      </c>
      <c r="K104" t="s">
        <v>286</v>
      </c>
      <c r="L104" s="5" t="str">
        <f t="shared" si="19"/>
        <v>Yes</v>
      </c>
      <c r="N104" t="s">
        <v>36</v>
      </c>
      <c r="O104" t="s">
        <v>70</v>
      </c>
      <c r="P104" s="7" t="s">
        <v>287</v>
      </c>
      <c r="S104" s="5">
        <f t="shared" si="20"/>
        <v>3</v>
      </c>
      <c r="T104" s="5">
        <f t="shared" si="21"/>
        <v>3</v>
      </c>
      <c r="U104" s="5">
        <f t="shared" si="22"/>
        <v>1</v>
      </c>
      <c r="V104" s="82">
        <f>IF(ISBLANK(FeedbackTracker[[#This Row],[Date]]),"",INT(FeedbackTracker[[#This Row],[Date]]-WEEKDAY(FeedbackTracker[[#This Row],[Date]],2)+1))</f>
        <v>46006</v>
      </c>
    </row>
    <row r="105" spans="1:22" ht="26.4" hidden="1" customHeight="1" x14ac:dyDescent="0.3">
      <c r="A105" s="8">
        <v>115005992519</v>
      </c>
      <c r="B105" s="4">
        <v>46007.718680555554</v>
      </c>
      <c r="C105" t="s">
        <v>288</v>
      </c>
      <c r="D105" t="s">
        <v>452</v>
      </c>
      <c r="E105" t="s">
        <v>454</v>
      </c>
      <c r="F105" t="s">
        <v>289</v>
      </c>
      <c r="G105" s="6">
        <f t="shared" si="23"/>
        <v>4.5</v>
      </c>
      <c r="H105" t="s">
        <v>24</v>
      </c>
      <c r="I105" t="s">
        <v>26</v>
      </c>
      <c r="J105" s="5" t="s">
        <v>34</v>
      </c>
      <c r="K105" t="s">
        <v>290</v>
      </c>
      <c r="L105" s="5" t="str">
        <f t="shared" si="19"/>
        <v>No</v>
      </c>
      <c r="M105" t="s">
        <v>62</v>
      </c>
      <c r="N105"/>
      <c r="S105" s="5">
        <f t="shared" si="20"/>
        <v>4</v>
      </c>
      <c r="T105" s="5">
        <f t="shared" si="21"/>
        <v>5</v>
      </c>
      <c r="U105" s="5">
        <f t="shared" si="22"/>
        <v>1</v>
      </c>
      <c r="V105" s="82">
        <f>IF(ISBLANK(FeedbackTracker[[#This Row],[Date]]),"",INT(FeedbackTracker[[#This Row],[Date]]-WEEKDAY(FeedbackTracker[[#This Row],[Date]],2)+1))</f>
        <v>46006</v>
      </c>
    </row>
    <row r="106" spans="1:22" ht="26.4" hidden="1" customHeight="1" x14ac:dyDescent="0.3">
      <c r="A106" s="8">
        <v>115005979656</v>
      </c>
      <c r="B106" s="4">
        <v>46007.657800925925</v>
      </c>
      <c r="C106" t="s">
        <v>278</v>
      </c>
      <c r="D106" t="s">
        <v>452</v>
      </c>
      <c r="E106" t="s">
        <v>454</v>
      </c>
      <c r="F106" t="s">
        <v>233</v>
      </c>
      <c r="G106" s="6">
        <f t="shared" si="23"/>
        <v>2</v>
      </c>
      <c r="H106" t="s">
        <v>42</v>
      </c>
      <c r="I106" t="s">
        <v>34</v>
      </c>
      <c r="J106" s="5" t="s">
        <v>34</v>
      </c>
      <c r="K106" s="7" t="s">
        <v>291</v>
      </c>
      <c r="L106" s="5" t="str">
        <f t="shared" si="19"/>
        <v>Yes</v>
      </c>
      <c r="N106" s="7" t="s">
        <v>36</v>
      </c>
      <c r="O106" t="s">
        <v>63</v>
      </c>
      <c r="P106" s="7" t="s">
        <v>292</v>
      </c>
      <c r="S106" s="5">
        <f t="shared" si="20"/>
        <v>3</v>
      </c>
      <c r="T106" s="5">
        <f t="shared" si="21"/>
        <v>1</v>
      </c>
      <c r="U106" s="5">
        <f t="shared" si="22"/>
        <v>1</v>
      </c>
      <c r="V106" s="82">
        <f>IF(ISBLANK(FeedbackTracker[[#This Row],[Date]]),"",INT(FeedbackTracker[[#This Row],[Date]]-WEEKDAY(FeedbackTracker[[#This Row],[Date]],2)+1))</f>
        <v>46006</v>
      </c>
    </row>
    <row r="107" spans="1:22" ht="26.4" hidden="1" customHeight="1" x14ac:dyDescent="0.3">
      <c r="A107" s="8">
        <v>115005944151</v>
      </c>
      <c r="B107" s="4">
        <v>46007.655393518522</v>
      </c>
      <c r="C107" t="s">
        <v>81</v>
      </c>
      <c r="D107" t="s">
        <v>457</v>
      </c>
      <c r="E107" t="s">
        <v>454</v>
      </c>
      <c r="F107" t="s">
        <v>38</v>
      </c>
      <c r="G107" s="6">
        <f t="shared" si="23"/>
        <v>4.5</v>
      </c>
      <c r="H107" t="s">
        <v>24</v>
      </c>
      <c r="I107" t="s">
        <v>26</v>
      </c>
      <c r="J107" s="5" t="s">
        <v>34</v>
      </c>
      <c r="K107" t="s">
        <v>293</v>
      </c>
      <c r="L107" s="5" t="str">
        <f t="shared" si="19"/>
        <v>No</v>
      </c>
      <c r="N107"/>
      <c r="S107" s="5">
        <f t="shared" si="20"/>
        <v>4</v>
      </c>
      <c r="T107" s="5">
        <f t="shared" si="21"/>
        <v>5</v>
      </c>
      <c r="U107" s="5">
        <f t="shared" si="22"/>
        <v>1</v>
      </c>
      <c r="V107" s="82">
        <f>IF(ISBLANK(FeedbackTracker[[#This Row],[Date]]),"",INT(FeedbackTracker[[#This Row],[Date]]-WEEKDAY(FeedbackTracker[[#This Row],[Date]],2)+1))</f>
        <v>46006</v>
      </c>
    </row>
    <row r="108" spans="1:22" ht="26.4" hidden="1" customHeight="1" x14ac:dyDescent="0.3">
      <c r="A108" s="8">
        <v>115005468916</v>
      </c>
      <c r="B108" s="4">
        <v>46007.005115740743</v>
      </c>
      <c r="C108" t="s">
        <v>192</v>
      </c>
      <c r="D108" t="s">
        <v>452</v>
      </c>
      <c r="E108" t="s">
        <v>454</v>
      </c>
      <c r="F108" t="s">
        <v>219</v>
      </c>
      <c r="G108" s="6">
        <f t="shared" si="23"/>
        <v>1.5</v>
      </c>
      <c r="H108" t="s">
        <v>107</v>
      </c>
      <c r="I108" t="s">
        <v>34</v>
      </c>
      <c r="J108" s="5" t="s">
        <v>34</v>
      </c>
      <c r="K108" s="7" t="s">
        <v>294</v>
      </c>
      <c r="N108" t="s">
        <v>36</v>
      </c>
      <c r="O108" t="s">
        <v>70</v>
      </c>
      <c r="P108" s="7" t="s">
        <v>295</v>
      </c>
      <c r="S108" s="5">
        <f t="shared" ref="S108" si="24">IF(H108="Extremely useful",5,IF(H108="Very useful",4,IF(H108="Moderately useful",3,IF(H108="Slightly useful",2,IF(H108="Not useful",1)))))</f>
        <v>2</v>
      </c>
      <c r="T108" s="5">
        <f t="shared" ref="T108" si="25">IF(I108="Yes",5,IF(I108="Partly",3,IF(I108="No",1)))</f>
        <v>1</v>
      </c>
      <c r="U108" s="5">
        <f t="shared" ref="U108" si="26">IF(J108="Yes",5,IF(J108="No",1))</f>
        <v>1</v>
      </c>
      <c r="V108" s="82">
        <f>IF(ISBLANK(FeedbackTracker[[#This Row],[Date]]),"",INT(FeedbackTracker[[#This Row],[Date]]-WEEKDAY(FeedbackTracker[[#This Row],[Date]],2)+1))</f>
        <v>46006</v>
      </c>
    </row>
    <row r="109" spans="1:22" ht="26.4" hidden="1" customHeight="1" x14ac:dyDescent="0.3">
      <c r="A109" s="8">
        <v>115005224366</v>
      </c>
      <c r="B109" s="4">
        <v>46006.794027777774</v>
      </c>
      <c r="C109" t="s">
        <v>281</v>
      </c>
      <c r="D109" t="s">
        <v>457</v>
      </c>
      <c r="E109" t="s">
        <v>455</v>
      </c>
      <c r="F109" t="s">
        <v>38</v>
      </c>
      <c r="G109" s="6">
        <f t="shared" si="23"/>
        <v>5</v>
      </c>
      <c r="H109" t="s">
        <v>57</v>
      </c>
      <c r="I109" t="s">
        <v>26</v>
      </c>
      <c r="J109" s="5" t="s">
        <v>34</v>
      </c>
      <c r="K109" t="s">
        <v>296</v>
      </c>
      <c r="N109"/>
      <c r="S109" s="5">
        <f t="shared" ref="S109" si="27">IF(H109="Extremely useful",5,IF(H109="Very useful",4,IF(H109="Moderately useful",3,IF(H109="Slightly useful",2,IF(H109="Not useful",1)))))</f>
        <v>5</v>
      </c>
      <c r="T109" s="5">
        <f t="shared" ref="T109" si="28">IF(I109="Yes",5,IF(I109="Partly",3,IF(I109="No",1)))</f>
        <v>5</v>
      </c>
      <c r="U109" s="5">
        <f t="shared" ref="U109" si="29">IF(J109="Yes",5,IF(J109="No",1))</f>
        <v>1</v>
      </c>
      <c r="V109" s="82">
        <f>IF(ISBLANK(FeedbackTracker[[#This Row],[Date]]),"",INT(FeedbackTracker[[#This Row],[Date]]-WEEKDAY(FeedbackTracker[[#This Row],[Date]],2)+1))</f>
        <v>46006</v>
      </c>
    </row>
    <row r="110" spans="1:22" ht="26.4" hidden="1" customHeight="1" x14ac:dyDescent="0.3">
      <c r="A110" s="8">
        <v>115002845847</v>
      </c>
      <c r="B110" s="4">
        <v>46002.598460648151</v>
      </c>
      <c r="C110" t="s">
        <v>195</v>
      </c>
      <c r="D110" t="s">
        <v>457</v>
      </c>
      <c r="E110" t="s">
        <v>455</v>
      </c>
      <c r="F110" t="s">
        <v>196</v>
      </c>
      <c r="G110" s="6">
        <f t="shared" si="23"/>
        <v>5</v>
      </c>
      <c r="H110" t="s">
        <v>57</v>
      </c>
      <c r="I110" t="s">
        <v>26</v>
      </c>
      <c r="J110" s="5" t="s">
        <v>34</v>
      </c>
      <c r="K110" t="s">
        <v>297</v>
      </c>
      <c r="N110"/>
      <c r="S110" s="5">
        <f t="shared" ref="S110" si="30">IF(H110="Extremely useful",5,IF(H110="Very useful",4,IF(H110="Moderately useful",3,IF(H110="Slightly useful",2,IF(H110="Not useful",1)))))</f>
        <v>5</v>
      </c>
      <c r="T110" s="5">
        <f t="shared" ref="T110" si="31">IF(I110="Yes",5,IF(I110="Partly",3,IF(I110="No",1)))</f>
        <v>5</v>
      </c>
      <c r="U110" s="5">
        <f t="shared" ref="U110" si="32">IF(J110="Yes",5,IF(J110="No",1))</f>
        <v>1</v>
      </c>
      <c r="V110" s="82">
        <f>IF(ISBLANK(FeedbackTracker[[#This Row],[Date]]),"",INT(FeedbackTracker[[#This Row],[Date]]-WEEKDAY(FeedbackTracker[[#This Row],[Date]],2)+1))</f>
        <v>45999</v>
      </c>
    </row>
  </sheetData>
  <conditionalFormatting sqref="G2:G503">
    <cfRule type="cellIs" dxfId="3" priority="1" operator="lessThanOrEqual">
      <formula>3</formula>
    </cfRule>
    <cfRule type="cellIs" dxfId="2" priority="2" operator="greaterThan">
      <formula>3</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F0F74-0A7D-430C-BD22-6BB849424A74}">
  <dimension ref="A1:T12"/>
  <sheetViews>
    <sheetView workbookViewId="0">
      <selection activeCell="A11" sqref="A11:T11"/>
    </sheetView>
  </sheetViews>
  <sheetFormatPr defaultRowHeight="14.4" x14ac:dyDescent="0.3"/>
  <cols>
    <col min="1" max="1" width="15.33203125" customWidth="1"/>
    <col min="2" max="2" width="14.5546875" customWidth="1"/>
    <col min="3" max="3" width="13.33203125" style="7" customWidth="1"/>
    <col min="4" max="4" width="17.6640625" customWidth="1"/>
    <col min="6" max="6" width="41" customWidth="1"/>
    <col min="7" max="7" width="15.88671875" customWidth="1"/>
    <col min="8" max="8" width="14.88671875" customWidth="1"/>
    <col min="11" max="11" width="9.109375" bestFit="1" customWidth="1"/>
    <col min="14" max="14" width="18.44140625" customWidth="1"/>
    <col min="20" max="20" width="19.33203125" customWidth="1"/>
  </cols>
  <sheetData>
    <row r="1" spans="1:20" s="7" customFormat="1" ht="48" customHeight="1" x14ac:dyDescent="0.3">
      <c r="A1" s="86" t="s">
        <v>0</v>
      </c>
      <c r="B1" s="87" t="s">
        <v>1</v>
      </c>
      <c r="C1" s="87" t="s">
        <v>2</v>
      </c>
      <c r="D1" s="88" t="s">
        <v>5</v>
      </c>
      <c r="E1" s="88" t="s">
        <v>6</v>
      </c>
      <c r="F1" s="88" t="s">
        <v>7</v>
      </c>
      <c r="G1" s="88" t="s">
        <v>8</v>
      </c>
      <c r="H1" s="89" t="s">
        <v>9</v>
      </c>
      <c r="I1" s="87" t="s">
        <v>10</v>
      </c>
      <c r="J1" s="88" t="s">
        <v>11</v>
      </c>
      <c r="K1" s="101" t="s">
        <v>12</v>
      </c>
      <c r="L1" s="88" t="s">
        <v>13</v>
      </c>
      <c r="M1" s="88" t="s">
        <v>14</v>
      </c>
      <c r="N1" s="88" t="s">
        <v>15</v>
      </c>
      <c r="O1" s="88" t="s">
        <v>16</v>
      </c>
      <c r="P1" s="88" t="s">
        <v>17</v>
      </c>
      <c r="Q1" s="88" t="s">
        <v>18</v>
      </c>
      <c r="R1" s="88" t="s">
        <v>19</v>
      </c>
      <c r="S1" s="88" t="s">
        <v>20</v>
      </c>
      <c r="T1" s="90" t="s">
        <v>21</v>
      </c>
    </row>
    <row r="2" spans="1:20" ht="28.8" x14ac:dyDescent="0.3">
      <c r="A2" s="102">
        <v>115078086801</v>
      </c>
      <c r="B2" s="103">
        <v>46125.451886574076</v>
      </c>
      <c r="C2" s="94" t="s">
        <v>40</v>
      </c>
      <c r="D2" s="91" t="s">
        <v>41</v>
      </c>
      <c r="E2" s="92">
        <f t="shared" ref="E2:E10" si="0">AVERAGE(Q2:S2)</f>
        <v>3</v>
      </c>
      <c r="F2" s="91" t="s">
        <v>42</v>
      </c>
      <c r="G2" s="91" t="s">
        <v>26</v>
      </c>
      <c r="H2" s="93" t="s">
        <v>34</v>
      </c>
      <c r="I2" s="91" t="s">
        <v>43</v>
      </c>
      <c r="J2" s="93" t="str">
        <f t="shared" ref="J2:J10" si="1">IF(E2&lt;=3,"Yes","No")</f>
        <v>Yes</v>
      </c>
      <c r="K2" s="91"/>
      <c r="L2" s="91" t="s">
        <v>217</v>
      </c>
      <c r="M2" s="91" t="s">
        <v>217</v>
      </c>
      <c r="N2" s="91" t="s">
        <v>44</v>
      </c>
      <c r="O2" s="91"/>
      <c r="P2" s="91"/>
      <c r="Q2" s="93">
        <f t="shared" ref="Q2:Q10" si="2">IF(F2="Extremely useful",5,IF(F2="Very useful",4,IF(F2="Moderately useful",3,IF(F2="Slightly useful",2,IF(F2="Not useful",1)))))</f>
        <v>3</v>
      </c>
      <c r="R2" s="93">
        <f t="shared" ref="R2:R10" si="3">IF(G2="Yes",5,IF(G2="Partly",3,IF(G2="No",1)))</f>
        <v>5</v>
      </c>
      <c r="S2" s="93">
        <f t="shared" ref="S2:S10" si="4">IF(H2="Yes",5,IF(H2="No",1))</f>
        <v>1</v>
      </c>
      <c r="T2" s="95">
        <f>IF(ISBLANK(FeedbackTracker[[#This Row],[Date]]),"",INT(FeedbackTracker[[#This Row],[Date]]-WEEKDAY(FeedbackTracker[[#This Row],[Date]],2)+1))</f>
        <v>46160</v>
      </c>
    </row>
    <row r="3" spans="1:20" ht="28.8" x14ac:dyDescent="0.3">
      <c r="A3" s="102">
        <v>115042915820</v>
      </c>
      <c r="B3" s="103">
        <v>46071.412928240738</v>
      </c>
      <c r="C3" s="94" t="s">
        <v>298</v>
      </c>
      <c r="D3" s="91" t="s">
        <v>154</v>
      </c>
      <c r="E3" s="92">
        <f t="shared" si="0"/>
        <v>3.6666666666666665</v>
      </c>
      <c r="F3" s="91" t="s">
        <v>57</v>
      </c>
      <c r="G3" s="91" t="s">
        <v>26</v>
      </c>
      <c r="H3" s="93" t="s">
        <v>34</v>
      </c>
      <c r="I3" s="91" t="s">
        <v>299</v>
      </c>
      <c r="J3" s="93" t="str">
        <f t="shared" si="1"/>
        <v>No</v>
      </c>
      <c r="K3" s="91"/>
      <c r="L3" s="91"/>
      <c r="M3" s="91" t="s">
        <v>217</v>
      </c>
      <c r="N3" s="91"/>
      <c r="O3" s="91"/>
      <c r="P3" s="91"/>
      <c r="Q3" s="93">
        <f t="shared" si="2"/>
        <v>5</v>
      </c>
      <c r="R3" s="93">
        <f t="shared" si="3"/>
        <v>5</v>
      </c>
      <c r="S3" s="93">
        <f t="shared" si="4"/>
        <v>1</v>
      </c>
      <c r="T3" s="95">
        <f>IF(ISBLANK(FeedbackTracker[[#This Row],[Date]]),"",INT(FeedbackTracker[[#This Row],[Date]]-WEEKDAY(FeedbackTracker[[#This Row],[Date]],2)+1))</f>
        <v>46153</v>
      </c>
    </row>
    <row r="4" spans="1:20" x14ac:dyDescent="0.3">
      <c r="A4" s="102">
        <v>115042910595</v>
      </c>
      <c r="B4" s="103">
        <v>46071.409131944441</v>
      </c>
      <c r="C4" s="94" t="s">
        <v>111</v>
      </c>
      <c r="D4" s="91" t="s">
        <v>300</v>
      </c>
      <c r="E4" s="92">
        <f t="shared" si="0"/>
        <v>3.3333333333333335</v>
      </c>
      <c r="F4" s="91" t="s">
        <v>24</v>
      </c>
      <c r="G4" s="91" t="s">
        <v>26</v>
      </c>
      <c r="H4" s="93" t="s">
        <v>34</v>
      </c>
      <c r="I4" s="91"/>
      <c r="J4" s="93" t="str">
        <f t="shared" si="1"/>
        <v>No</v>
      </c>
      <c r="K4" s="91" t="s">
        <v>217</v>
      </c>
      <c r="L4" s="91" t="s">
        <v>217</v>
      </c>
      <c r="M4" s="91" t="s">
        <v>217</v>
      </c>
      <c r="N4" s="91" t="s">
        <v>217</v>
      </c>
      <c r="O4" s="91"/>
      <c r="P4" s="91"/>
      <c r="Q4" s="93">
        <f t="shared" si="2"/>
        <v>4</v>
      </c>
      <c r="R4" s="93">
        <f t="shared" si="3"/>
        <v>5</v>
      </c>
      <c r="S4" s="93">
        <f t="shared" si="4"/>
        <v>1</v>
      </c>
      <c r="T4" s="95">
        <f>IF(ISBLANK(FeedbackTracker[[#This Row],[Date]]),"",INT(FeedbackTracker[[#This Row],[Date]]-WEEKDAY(FeedbackTracker[[#This Row],[Date]],2)+1))</f>
        <v>46153</v>
      </c>
    </row>
    <row r="5" spans="1:20" ht="28.8" x14ac:dyDescent="0.3">
      <c r="A5" s="102">
        <v>115018962266</v>
      </c>
      <c r="B5" s="103">
        <v>46034.492766203701</v>
      </c>
      <c r="C5" s="106" t="s">
        <v>49</v>
      </c>
      <c r="D5" s="91" t="s">
        <v>50</v>
      </c>
      <c r="E5" s="92">
        <f t="shared" si="0"/>
        <v>4.333333333333333</v>
      </c>
      <c r="F5" s="91" t="s">
        <v>42</v>
      </c>
      <c r="G5" s="91" t="s">
        <v>26</v>
      </c>
      <c r="H5" s="93" t="s">
        <v>26</v>
      </c>
      <c r="I5" s="91" t="s">
        <v>51</v>
      </c>
      <c r="J5" s="93" t="str">
        <f t="shared" si="1"/>
        <v>No</v>
      </c>
      <c r="K5" s="91"/>
      <c r="L5" s="91" t="s">
        <v>36</v>
      </c>
      <c r="M5" s="91" t="s">
        <v>217</v>
      </c>
      <c r="N5" s="91" t="s">
        <v>301</v>
      </c>
      <c r="O5" s="91"/>
      <c r="P5" s="91"/>
      <c r="Q5" s="93">
        <f t="shared" si="2"/>
        <v>3</v>
      </c>
      <c r="R5" s="93">
        <f t="shared" si="3"/>
        <v>5</v>
      </c>
      <c r="S5" s="93">
        <f t="shared" si="4"/>
        <v>5</v>
      </c>
      <c r="T5" s="95">
        <f>IF(ISBLANK(FeedbackTracker[[#This Row],[Date]]),"",INT(FeedbackTracker[[#This Row],[Date]]-WEEKDAY(FeedbackTracker[[#This Row],[Date]],2)+1))</f>
        <v>46153</v>
      </c>
    </row>
    <row r="6" spans="1:20" ht="28.8" x14ac:dyDescent="0.3">
      <c r="A6" s="104">
        <v>115016986081</v>
      </c>
      <c r="B6" s="105">
        <v>46030.402974537035</v>
      </c>
      <c r="C6" s="99" t="s">
        <v>32</v>
      </c>
      <c r="D6" s="96" t="s">
        <v>38</v>
      </c>
      <c r="E6" s="97">
        <f t="shared" si="0"/>
        <v>3</v>
      </c>
      <c r="F6" s="96" t="s">
        <v>42</v>
      </c>
      <c r="G6" s="96" t="s">
        <v>26</v>
      </c>
      <c r="H6" s="98" t="s">
        <v>34</v>
      </c>
      <c r="I6" s="96" t="s">
        <v>302</v>
      </c>
      <c r="J6" s="98" t="str">
        <f t="shared" si="1"/>
        <v>Yes</v>
      </c>
      <c r="K6" s="96"/>
      <c r="L6" s="96" t="s">
        <v>217</v>
      </c>
      <c r="M6" s="96" t="s">
        <v>217</v>
      </c>
      <c r="N6" s="96" t="s">
        <v>303</v>
      </c>
      <c r="O6" s="96"/>
      <c r="P6" s="96"/>
      <c r="Q6" s="98">
        <f t="shared" si="2"/>
        <v>3</v>
      </c>
      <c r="R6" s="98">
        <f t="shared" si="3"/>
        <v>5</v>
      </c>
      <c r="S6" s="98">
        <f t="shared" si="4"/>
        <v>1</v>
      </c>
      <c r="T6" s="100">
        <f>IF(ISBLANK(FeedbackTracker[[#This Row],[Date]]),"",INT(FeedbackTracker[[#This Row],[Date]]-WEEKDAY(FeedbackTracker[[#This Row],[Date]],2)+1))</f>
        <v>46153</v>
      </c>
    </row>
    <row r="7" spans="1:20" ht="28.8" x14ac:dyDescent="0.3">
      <c r="A7" s="102">
        <v>115073800800</v>
      </c>
      <c r="B7" s="103">
        <v>46118.556111111109</v>
      </c>
      <c r="C7" s="94" t="s">
        <v>32</v>
      </c>
      <c r="D7" s="91" t="s">
        <v>33</v>
      </c>
      <c r="E7" s="92">
        <f t="shared" si="0"/>
        <v>2.3333333333333335</v>
      </c>
      <c r="F7" s="91" t="s">
        <v>42</v>
      </c>
      <c r="G7" s="91" t="s">
        <v>25</v>
      </c>
      <c r="H7" s="93" t="s">
        <v>34</v>
      </c>
      <c r="I7" s="91" t="s">
        <v>304</v>
      </c>
      <c r="J7" s="93" t="str">
        <f t="shared" si="1"/>
        <v>Yes</v>
      </c>
      <c r="K7" s="91"/>
      <c r="L7" s="91" t="s">
        <v>217</v>
      </c>
      <c r="M7" s="91" t="s">
        <v>217</v>
      </c>
      <c r="N7" s="91" t="s">
        <v>305</v>
      </c>
      <c r="O7" s="91"/>
      <c r="P7" s="91"/>
      <c r="Q7" s="93">
        <f t="shared" si="2"/>
        <v>3</v>
      </c>
      <c r="R7" s="93">
        <f t="shared" si="3"/>
        <v>3</v>
      </c>
      <c r="S7" s="93">
        <f t="shared" si="4"/>
        <v>1</v>
      </c>
      <c r="T7" s="95">
        <f>IF(ISBLANK(FeedbackTracker[[#This Row],[Date]]),"",INT(FeedbackTracker[[#This Row],[Date]]-WEEKDAY(FeedbackTracker[[#This Row],[Date]],2)+1))</f>
        <v>46153</v>
      </c>
    </row>
    <row r="8" spans="1:20" x14ac:dyDescent="0.3">
      <c r="A8" s="102">
        <v>115063541396</v>
      </c>
      <c r="B8" s="103">
        <v>46101.677291666667</v>
      </c>
      <c r="C8" s="94" t="s">
        <v>22</v>
      </c>
      <c r="D8" s="91" t="s">
        <v>23</v>
      </c>
      <c r="E8" s="92">
        <f t="shared" si="0"/>
        <v>3.6666666666666665</v>
      </c>
      <c r="F8" s="91" t="s">
        <v>42</v>
      </c>
      <c r="G8" s="91" t="s">
        <v>25</v>
      </c>
      <c r="H8" s="93" t="s">
        <v>26</v>
      </c>
      <c r="I8" s="91" t="s">
        <v>27</v>
      </c>
      <c r="J8" s="93" t="str">
        <f t="shared" si="1"/>
        <v>No</v>
      </c>
      <c r="K8" s="91" t="s">
        <v>62</v>
      </c>
      <c r="L8" s="91" t="s">
        <v>36</v>
      </c>
      <c r="M8" s="91" t="s">
        <v>217</v>
      </c>
      <c r="N8" s="91" t="s">
        <v>306</v>
      </c>
      <c r="O8" s="91"/>
      <c r="P8" s="91"/>
      <c r="Q8" s="93">
        <f t="shared" si="2"/>
        <v>3</v>
      </c>
      <c r="R8" s="93">
        <f t="shared" si="3"/>
        <v>3</v>
      </c>
      <c r="S8" s="93">
        <f t="shared" si="4"/>
        <v>5</v>
      </c>
      <c r="T8" s="95">
        <f>IF(ISBLANK(FeedbackTracker[[#This Row],[Date]]),"",INT(FeedbackTracker[[#This Row],[Date]]-WEEKDAY(FeedbackTracker[[#This Row],[Date]],2)+1))</f>
        <v>46153</v>
      </c>
    </row>
    <row r="9" spans="1:20" x14ac:dyDescent="0.3">
      <c r="A9" s="102">
        <v>115056969460</v>
      </c>
      <c r="B9" s="103">
        <v>46092.403333333335</v>
      </c>
      <c r="C9" s="94" t="s">
        <v>29</v>
      </c>
      <c r="D9" s="91" t="s">
        <v>30</v>
      </c>
      <c r="E9" s="92">
        <f t="shared" si="0"/>
        <v>2.6666666666666665</v>
      </c>
      <c r="F9" s="91" t="s">
        <v>24</v>
      </c>
      <c r="G9" s="91" t="s">
        <v>25</v>
      </c>
      <c r="H9" s="93" t="s">
        <v>34</v>
      </c>
      <c r="I9" s="91" t="s">
        <v>31</v>
      </c>
      <c r="J9" s="93" t="str">
        <f t="shared" si="1"/>
        <v>Yes</v>
      </c>
      <c r="K9" s="91" t="s">
        <v>109</v>
      </c>
      <c r="L9" s="91" t="s">
        <v>36</v>
      </c>
      <c r="M9" s="91" t="s">
        <v>217</v>
      </c>
      <c r="N9" s="91" t="s">
        <v>92</v>
      </c>
      <c r="O9" s="91"/>
      <c r="P9" s="91"/>
      <c r="Q9" s="93">
        <f t="shared" si="2"/>
        <v>4</v>
      </c>
      <c r="R9" s="93">
        <f t="shared" si="3"/>
        <v>3</v>
      </c>
      <c r="S9" s="93">
        <f t="shared" si="4"/>
        <v>1</v>
      </c>
      <c r="T9" s="95">
        <f>IF(ISBLANK(FeedbackTracker[[#This Row],[Date]]),"",INT(FeedbackTracker[[#This Row],[Date]]-WEEKDAY(FeedbackTracker[[#This Row],[Date]],2)+1))</f>
        <v>46153</v>
      </c>
    </row>
    <row r="10" spans="1:20" x14ac:dyDescent="0.3">
      <c r="A10" s="104">
        <v>115042311879</v>
      </c>
      <c r="B10" s="105">
        <v>46070.692604166667</v>
      </c>
      <c r="C10" s="99" t="s">
        <v>114</v>
      </c>
      <c r="D10" s="96" t="s">
        <v>115</v>
      </c>
      <c r="E10" s="97">
        <f t="shared" si="0"/>
        <v>1</v>
      </c>
      <c r="F10" s="96" t="s">
        <v>116</v>
      </c>
      <c r="G10" s="96" t="s">
        <v>34</v>
      </c>
      <c r="H10" s="98" t="s">
        <v>34</v>
      </c>
      <c r="I10" s="96" t="s">
        <v>307</v>
      </c>
      <c r="J10" s="98" t="str">
        <f t="shared" si="1"/>
        <v>Yes</v>
      </c>
      <c r="K10" s="96"/>
      <c r="L10" s="96" t="s">
        <v>217</v>
      </c>
      <c r="M10" s="96" t="s">
        <v>217</v>
      </c>
      <c r="N10" s="96" t="s">
        <v>217</v>
      </c>
      <c r="O10" s="96"/>
      <c r="P10" s="96"/>
      <c r="Q10" s="98">
        <f t="shared" si="2"/>
        <v>1</v>
      </c>
      <c r="R10" s="98">
        <f t="shared" si="3"/>
        <v>1</v>
      </c>
      <c r="S10" s="98">
        <f t="shared" si="4"/>
        <v>1</v>
      </c>
      <c r="T10" s="100">
        <f>IF(ISBLANK(FeedbackTracker[[#This Row],[Date]]),"",INT(FeedbackTracker[[#This Row],[Date]]-WEEKDAY(FeedbackTracker[[#This Row],[Date]],2)+1))</f>
        <v>46153</v>
      </c>
    </row>
    <row r="11" spans="1:20" ht="15" customHeight="1" x14ac:dyDescent="0.3">
      <c r="A11" s="104">
        <v>115030546274</v>
      </c>
      <c r="B11" s="105">
        <v>46051.625173611108</v>
      </c>
      <c r="C11" s="108" t="s">
        <v>143</v>
      </c>
      <c r="D11" s="96" t="s">
        <v>144</v>
      </c>
      <c r="E11" s="97">
        <f>AVERAGE(Q11:R11)</f>
        <v>3</v>
      </c>
      <c r="F11" s="96" t="s">
        <v>42</v>
      </c>
      <c r="G11" s="96" t="s">
        <v>25</v>
      </c>
      <c r="H11" s="98" t="s">
        <v>34</v>
      </c>
      <c r="I11" s="96"/>
      <c r="J11" s="98" t="str">
        <f>IF(E11&lt;=3,"Yes","No")</f>
        <v>Yes</v>
      </c>
      <c r="K11" s="96"/>
      <c r="L11" s="99" t="s">
        <v>217</v>
      </c>
      <c r="M11" s="96" t="s">
        <v>308</v>
      </c>
      <c r="N11" s="99" t="s">
        <v>309</v>
      </c>
      <c r="O11" s="96"/>
      <c r="P11" s="96"/>
      <c r="Q11" s="98">
        <f>IF(F11="Extremely useful",5,IF(F11="Very useful",4,IF(F11="Moderately useful",3,IF(F11="Slightly useful",2,IF(F11="Not useful",1)))))</f>
        <v>3</v>
      </c>
      <c r="R11" s="98">
        <f>IF(G11="Yes",5,IF(G11="Partly",3,IF(G11="No",1)))</f>
        <v>3</v>
      </c>
      <c r="S11" s="98">
        <f>IF(H11="Yes",5,IF(H11="No",1))</f>
        <v>1</v>
      </c>
      <c r="T11" s="100">
        <f>IF(ISBLANK(FeedbackTracker[[#This Row],[Date]]),"",INT(FeedbackTracker[[#This Row],[Date]]-WEEKDAY(FeedbackTracker[[#This Row],[Date]],2)+1))</f>
        <v>46146</v>
      </c>
    </row>
    <row r="12" spans="1:20" ht="15" customHeight="1" x14ac:dyDescent="0.3">
      <c r="A12" s="104">
        <v>115023047140</v>
      </c>
      <c r="B12" s="105">
        <v>46040.42701388889</v>
      </c>
      <c r="C12" s="108" t="s">
        <v>188</v>
      </c>
      <c r="D12" s="96" t="s">
        <v>189</v>
      </c>
      <c r="E12" s="97">
        <f>AVERAGE(Q12:R12)</f>
        <v>3</v>
      </c>
      <c r="F12" s="96" t="s">
        <v>42</v>
      </c>
      <c r="G12" s="96" t="s">
        <v>25</v>
      </c>
      <c r="H12" s="98" t="s">
        <v>26</v>
      </c>
      <c r="I12" s="96"/>
      <c r="J12" s="98" t="str">
        <f>IF(E12&lt;=3,"Yes","No")</f>
        <v>Yes</v>
      </c>
      <c r="K12" s="96"/>
      <c r="L12" s="99" t="s">
        <v>36</v>
      </c>
      <c r="M12" s="96" t="s">
        <v>63</v>
      </c>
      <c r="N12" s="99" t="s">
        <v>190</v>
      </c>
      <c r="O12" s="96"/>
      <c r="P12" s="96"/>
      <c r="Q12" s="98">
        <f>IF(F12="Extremely useful",5,IF(F12="Very useful",4,IF(F12="Moderately useful",3,IF(F12="Slightly useful",2,IF(F12="Not useful",1)))))</f>
        <v>3</v>
      </c>
      <c r="R12" s="98">
        <f>IF(G12="Yes",5,IF(G12="Partly",3,IF(G12="No",1)))</f>
        <v>3</v>
      </c>
      <c r="S12" s="98">
        <f>IF(H12="Yes",5,IF(H12="No",1))</f>
        <v>5</v>
      </c>
      <c r="T12" s="100">
        <f>IF(ISBLANK(FeedbackTracker[[#This Row],[Date]]),"",INT(FeedbackTracker[[#This Row],[Date]]-WEEKDAY(FeedbackTracker[[#This Row],[Date]],2)+1))</f>
        <v>46146</v>
      </c>
    </row>
  </sheetData>
  <conditionalFormatting sqref="E2:E12">
    <cfRule type="cellIs" dxfId="1" priority="1" operator="lessThanOrEqual">
      <formula>3</formula>
    </cfRule>
    <cfRule type="cellIs" dxfId="0" priority="2" operator="greaterThan">
      <formula>3</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4C26F-1A32-4FE3-9ACF-9B2A6B61D752}">
  <dimension ref="A1:B5"/>
  <sheetViews>
    <sheetView workbookViewId="0">
      <selection activeCell="C20" sqref="C20"/>
    </sheetView>
  </sheetViews>
  <sheetFormatPr defaultRowHeight="14.4" x14ac:dyDescent="0.3"/>
  <cols>
    <col min="1" max="1" width="16.6640625" bestFit="1" customWidth="1"/>
    <col min="2" max="2" width="21.33203125" bestFit="1" customWidth="1"/>
    <col min="3" max="3" width="16.44140625" bestFit="1" customWidth="1"/>
    <col min="4" max="4" width="9.6640625" bestFit="1" customWidth="1"/>
    <col min="5" max="5" width="12.6640625" bestFit="1" customWidth="1"/>
    <col min="6" max="6" width="10.44140625" bestFit="1" customWidth="1"/>
    <col min="7" max="7" width="10.6640625" bestFit="1" customWidth="1"/>
  </cols>
  <sheetData>
    <row r="1" spans="1:2" x14ac:dyDescent="0.3">
      <c r="A1" s="83" t="s">
        <v>13</v>
      </c>
      <c r="B1" t="s" vm="1">
        <v>310</v>
      </c>
    </row>
    <row r="3" spans="1:2" x14ac:dyDescent="0.3">
      <c r="A3" s="83" t="s">
        <v>311</v>
      </c>
      <c r="B3" t="s">
        <v>312</v>
      </c>
    </row>
    <row r="4" spans="1:2" x14ac:dyDescent="0.3">
      <c r="A4" s="84">
        <v>46146</v>
      </c>
      <c r="B4">
        <v>3</v>
      </c>
    </row>
    <row r="5" spans="1:2" x14ac:dyDescent="0.3">
      <c r="A5" s="15" t="s">
        <v>313</v>
      </c>
      <c r="B5">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8651A"/>
  </sheetPr>
  <dimension ref="A1:B11"/>
  <sheetViews>
    <sheetView zoomScaleNormal="100" workbookViewId="0">
      <selection activeCell="A21" sqref="A21"/>
    </sheetView>
  </sheetViews>
  <sheetFormatPr defaultColWidth="8.6640625" defaultRowHeight="14.4" x14ac:dyDescent="0.3"/>
  <cols>
    <col min="1" max="1" width="42" customWidth="1"/>
    <col min="2" max="2" width="18" customWidth="1"/>
  </cols>
  <sheetData>
    <row r="1" spans="1:2" x14ac:dyDescent="0.3">
      <c r="A1" s="1" t="s">
        <v>314</v>
      </c>
      <c r="B1" s="2"/>
    </row>
    <row r="2" spans="1:2" x14ac:dyDescent="0.3">
      <c r="A2" s="3" t="s">
        <v>315</v>
      </c>
      <c r="B2" s="3">
        <f>COUNTA(#REF!)</f>
        <v>1</v>
      </c>
    </row>
    <row r="3" spans="1:2" x14ac:dyDescent="0.3">
      <c r="A3" s="3" t="s">
        <v>316</v>
      </c>
      <c r="B3" s="3">
        <f>IFERROR(AVERAGE(#REF!),0)</f>
        <v>0</v>
      </c>
    </row>
    <row r="4" spans="1:2" x14ac:dyDescent="0.3">
      <c r="A4" s="3" t="s">
        <v>317</v>
      </c>
      <c r="B4" s="3">
        <f>COUNTIF(FeedbackTracker[Overall Rating (1-5)],"&lt;=3")</f>
        <v>26</v>
      </c>
    </row>
    <row r="5" spans="1:2" x14ac:dyDescent="0.3">
      <c r="A5" s="3" t="s">
        <v>318</v>
      </c>
      <c r="B5" s="3">
        <f>COUNTIF(FeedbackTracker[Overall Rating (1-5)],"&gt;=4")</f>
        <v>70</v>
      </c>
    </row>
    <row r="6" spans="1:2" x14ac:dyDescent="0.3">
      <c r="A6" s="3" t="s">
        <v>319</v>
      </c>
      <c r="B6" s="3">
        <f ca="1">IFERROR(B6/(B3),0)</f>
        <v>0</v>
      </c>
    </row>
    <row r="7" spans="1:2" x14ac:dyDescent="0.3">
      <c r="A7" s="3" t="s">
        <v>320</v>
      </c>
      <c r="B7" s="3">
        <f>COUNTIF(FeedbackTracker[Follow-Up Requested?],"Yes")</f>
        <v>31</v>
      </c>
    </row>
    <row r="8" spans="1:2" x14ac:dyDescent="0.3">
      <c r="A8" s="3" t="s">
        <v>321</v>
      </c>
      <c r="B8" s="3">
        <f>COUNTIFS(FeedbackTracker[Flagged (≤3)?],"Yes",FeedbackTracker[Resolved?],"No")</f>
        <v>0</v>
      </c>
    </row>
    <row r="9" spans="1:2" x14ac:dyDescent="0.3">
      <c r="A9" s="3"/>
      <c r="B9" s="2"/>
    </row>
    <row r="10" spans="1:2" x14ac:dyDescent="0.3">
      <c r="A10" s="1" t="s">
        <v>322</v>
      </c>
      <c r="B10" s="2"/>
    </row>
    <row r="11" spans="1:2" x14ac:dyDescent="0.3">
      <c r="A11" s="3" t="s">
        <v>323</v>
      </c>
      <c r="B11" s="2"/>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87304-47D6-4E68-963C-3A2DE83D53CB}">
  <dimension ref="A1:AB32"/>
  <sheetViews>
    <sheetView workbookViewId="0"/>
  </sheetViews>
  <sheetFormatPr defaultColWidth="8.88671875" defaultRowHeight="25.2" customHeight="1" x14ac:dyDescent="0.3"/>
  <cols>
    <col min="1" max="1" width="18.88671875" style="65" customWidth="1"/>
    <col min="2" max="2" width="15.33203125" style="65" customWidth="1"/>
    <col min="3" max="4" width="19.6640625" style="65" bestFit="1" customWidth="1"/>
    <col min="5" max="5" width="18.44140625" style="65" customWidth="1"/>
    <col min="6" max="6" width="15.109375" style="65" customWidth="1"/>
    <col min="7" max="7" width="12.109375" style="65" customWidth="1"/>
    <col min="8" max="8" width="12" style="65" customWidth="1"/>
    <col min="9" max="9" width="15.5546875" style="65" customWidth="1"/>
    <col min="10" max="10" width="19.6640625" style="65" customWidth="1"/>
    <col min="11" max="11" width="15.109375" style="65" customWidth="1"/>
    <col min="12" max="12" width="18.88671875" style="65" customWidth="1"/>
    <col min="13" max="14" width="57.109375" style="65" customWidth="1"/>
    <col min="15" max="15" width="37.5546875" style="49" customWidth="1"/>
    <col min="16" max="18" width="57.109375" style="65" customWidth="1"/>
    <col min="19" max="19" width="57.33203125" style="65" customWidth="1"/>
    <col min="20" max="20" width="57.109375" style="65" customWidth="1"/>
    <col min="21" max="21" width="46.109375" style="65" customWidth="1"/>
    <col min="22" max="24" width="57.109375" style="65" customWidth="1"/>
    <col min="25" max="25" width="19" style="65" customWidth="1"/>
    <col min="26" max="26" width="15.88671875" style="65" customWidth="1"/>
    <col min="27" max="27" width="20.88671875" style="65" customWidth="1"/>
    <col min="28" max="28" width="17" style="49" customWidth="1"/>
    <col min="29" max="16384" width="8.88671875" style="49"/>
  </cols>
  <sheetData>
    <row r="1" spans="1:28" s="18" customFormat="1" ht="25.2" customHeight="1" x14ac:dyDescent="0.3">
      <c r="A1" s="18" t="s">
        <v>0</v>
      </c>
      <c r="B1" s="18" t="s">
        <v>324</v>
      </c>
      <c r="C1" s="18" t="s">
        <v>325</v>
      </c>
      <c r="D1" s="18" t="s">
        <v>326</v>
      </c>
      <c r="E1" s="18" t="s">
        <v>327</v>
      </c>
      <c r="F1" s="18" t="s">
        <v>328</v>
      </c>
      <c r="G1" s="18" t="s">
        <v>329</v>
      </c>
      <c r="H1" s="18" t="s">
        <v>330</v>
      </c>
      <c r="I1" s="18" t="s">
        <v>331</v>
      </c>
      <c r="J1" s="18" t="s">
        <v>332</v>
      </c>
      <c r="K1" s="18" t="s">
        <v>2</v>
      </c>
      <c r="L1" s="18" t="s">
        <v>333</v>
      </c>
      <c r="M1" s="18" t="s">
        <v>334</v>
      </c>
      <c r="N1" s="18" t="s">
        <v>335</v>
      </c>
      <c r="O1" s="18" t="s">
        <v>336</v>
      </c>
      <c r="P1" s="18" t="s">
        <v>337</v>
      </c>
      <c r="Q1" s="18" t="s">
        <v>338</v>
      </c>
      <c r="R1" s="18" t="s">
        <v>339</v>
      </c>
      <c r="S1" s="18" t="s">
        <v>340</v>
      </c>
      <c r="T1" s="18" t="s">
        <v>341</v>
      </c>
      <c r="U1" s="18" t="s">
        <v>342</v>
      </c>
      <c r="V1" s="18" t="s">
        <v>343</v>
      </c>
      <c r="W1" s="18" t="s">
        <v>344</v>
      </c>
      <c r="X1" s="19" t="s">
        <v>345</v>
      </c>
      <c r="Y1" s="19" t="s">
        <v>346</v>
      </c>
      <c r="Z1" s="19" t="s">
        <v>347</v>
      </c>
      <c r="AA1" s="19" t="s">
        <v>348</v>
      </c>
      <c r="AB1" s="19" t="s">
        <v>349</v>
      </c>
    </row>
    <row r="2" spans="1:28" s="18" customFormat="1" ht="25.2" customHeight="1" x14ac:dyDescent="0.3">
      <c r="A2" s="20">
        <v>115078155867</v>
      </c>
      <c r="B2" s="21">
        <v>438983145</v>
      </c>
      <c r="C2" s="22">
        <v>46125.606388888889</v>
      </c>
      <c r="D2" s="23">
        <v>46125.609409722223</v>
      </c>
      <c r="E2" s="21" t="s">
        <v>350</v>
      </c>
      <c r="F2" s="21"/>
      <c r="G2" s="21"/>
      <c r="H2" s="21"/>
      <c r="I2" s="21"/>
      <c r="J2" s="21" t="s">
        <v>68</v>
      </c>
      <c r="K2" s="24" t="s">
        <v>67</v>
      </c>
      <c r="L2" s="21" t="s">
        <v>351</v>
      </c>
      <c r="M2" s="21" t="s">
        <v>352</v>
      </c>
      <c r="N2" s="21" t="s">
        <v>353</v>
      </c>
      <c r="O2" s="21" t="s">
        <v>354</v>
      </c>
      <c r="P2" s="21" t="s">
        <v>355</v>
      </c>
      <c r="Q2" s="21" t="s">
        <v>356</v>
      </c>
      <c r="R2" s="21" t="s">
        <v>357</v>
      </c>
      <c r="S2" s="21" t="s">
        <v>358</v>
      </c>
      <c r="T2" s="21" t="s">
        <v>359</v>
      </c>
      <c r="U2" s="21" t="s">
        <v>352</v>
      </c>
      <c r="V2" s="21" t="s">
        <v>360</v>
      </c>
      <c r="W2" s="21"/>
      <c r="X2" s="25"/>
      <c r="Y2" s="25"/>
      <c r="Z2" s="25"/>
      <c r="AA2" s="25">
        <f>IF(ISBLANK(FeedbackFrmMentor[[#This Row],[Start Date]]),"",FeedbackFrmMentor[[#This Row],[Start Date]]-WEEKDAY(FeedbackFrmMentor[[#This Row],[Start Date]],2)+1)</f>
        <v>46125.606388888889</v>
      </c>
      <c r="AB2" s="26">
        <f>TRUNC(FeedbackFrmMentor[[#This Row],[Start of Week]],0)</f>
        <v>46125</v>
      </c>
    </row>
    <row r="3" spans="1:28" s="18" customFormat="1" ht="25.2" customHeight="1" x14ac:dyDescent="0.3">
      <c r="A3" s="20">
        <v>115076821481</v>
      </c>
      <c r="B3" s="21">
        <v>438983145</v>
      </c>
      <c r="C3" s="22">
        <v>46122.530428240738</v>
      </c>
      <c r="D3" s="23">
        <v>46122.531342592592</v>
      </c>
      <c r="E3" s="21" t="s">
        <v>361</v>
      </c>
      <c r="F3" s="21"/>
      <c r="G3" s="21"/>
      <c r="H3" s="21"/>
      <c r="I3" s="21"/>
      <c r="J3" s="21" t="s">
        <v>362</v>
      </c>
      <c r="K3" s="21" t="s">
        <v>40</v>
      </c>
      <c r="L3" s="27" t="s">
        <v>363</v>
      </c>
      <c r="M3" s="21" t="s">
        <v>364</v>
      </c>
      <c r="N3" s="21" t="s">
        <v>365</v>
      </c>
      <c r="O3" s="21" t="s">
        <v>366</v>
      </c>
      <c r="P3" s="21" t="s">
        <v>367</v>
      </c>
      <c r="Q3" s="21"/>
      <c r="R3" s="21"/>
      <c r="S3" s="21"/>
      <c r="T3" s="21"/>
      <c r="U3" s="21"/>
      <c r="V3" s="21"/>
      <c r="W3" s="21"/>
      <c r="X3" s="25"/>
      <c r="Y3" s="25"/>
      <c r="Z3" s="25"/>
      <c r="AA3" s="25">
        <f>IF(ISBLANK(FeedbackFrmMentor[[#This Row],[Start Date]]),"",FeedbackFrmMentor[[#This Row],[Start Date]]-WEEKDAY(FeedbackFrmMentor[[#This Row],[Start Date]],2)+1)</f>
        <v>46118.530428240738</v>
      </c>
      <c r="AB3" s="26">
        <f>TRUNC(FeedbackFrmMentor[[#This Row],[Start of Week]],0)</f>
        <v>46118</v>
      </c>
    </row>
    <row r="4" spans="1:28" s="18" customFormat="1" ht="25.2" customHeight="1" x14ac:dyDescent="0.3">
      <c r="A4" s="20">
        <v>115074566802</v>
      </c>
      <c r="B4" s="21">
        <v>438983145</v>
      </c>
      <c r="C4" s="22">
        <v>46119.659259259257</v>
      </c>
      <c r="D4" s="23">
        <v>46119.660081018519</v>
      </c>
      <c r="E4" s="21" t="s">
        <v>368</v>
      </c>
      <c r="F4" s="21"/>
      <c r="G4" s="21"/>
      <c r="H4" s="21"/>
      <c r="I4" s="21"/>
      <c r="J4" s="21" t="s">
        <v>33</v>
      </c>
      <c r="K4" s="21" t="s">
        <v>32</v>
      </c>
      <c r="L4" s="21" t="s">
        <v>369</v>
      </c>
      <c r="M4" s="21" t="s">
        <v>352</v>
      </c>
      <c r="N4" s="21" t="s">
        <v>370</v>
      </c>
      <c r="O4" s="21" t="s">
        <v>371</v>
      </c>
      <c r="P4" s="21"/>
      <c r="Q4" s="21" t="s">
        <v>372</v>
      </c>
      <c r="R4" s="21" t="s">
        <v>373</v>
      </c>
      <c r="S4" s="21"/>
      <c r="T4" s="21" t="s">
        <v>359</v>
      </c>
      <c r="U4" s="21" t="s">
        <v>352</v>
      </c>
      <c r="V4" s="21" t="s">
        <v>360</v>
      </c>
      <c r="W4" s="21"/>
      <c r="X4" s="25"/>
      <c r="Y4" s="25"/>
      <c r="Z4" s="25"/>
      <c r="AA4" s="25">
        <f>IF(ISBLANK(FeedbackFrmMentor[[#This Row],[Start Date]]),"",FeedbackFrmMentor[[#This Row],[Start Date]]-WEEKDAY(FeedbackFrmMentor[[#This Row],[Start Date]],2)+1)</f>
        <v>46118.659259259257</v>
      </c>
      <c r="AB4" s="26">
        <f>TRUNC(FeedbackFrmMentor[[#This Row],[Start of Week]],0)</f>
        <v>46118</v>
      </c>
    </row>
    <row r="5" spans="1:28" s="18" customFormat="1" ht="25.2" customHeight="1" x14ac:dyDescent="0.3">
      <c r="A5" s="28">
        <v>115068064794</v>
      </c>
      <c r="B5" s="29">
        <v>438983145</v>
      </c>
      <c r="C5" s="30">
        <v>46108.441886574074</v>
      </c>
      <c r="D5" s="31">
        <v>46108.443680555552</v>
      </c>
      <c r="E5" s="29" t="s">
        <v>374</v>
      </c>
      <c r="F5" s="29"/>
      <c r="G5" s="29"/>
      <c r="H5" s="29"/>
      <c r="I5" s="29"/>
      <c r="J5" s="29" t="s">
        <v>83</v>
      </c>
      <c r="K5" s="32" t="s">
        <v>375</v>
      </c>
      <c r="L5" s="29" t="s">
        <v>376</v>
      </c>
      <c r="M5" s="29" t="s">
        <v>364</v>
      </c>
      <c r="N5" s="29" t="s">
        <v>365</v>
      </c>
      <c r="O5" s="29" t="s">
        <v>377</v>
      </c>
      <c r="P5" s="29" t="s">
        <v>378</v>
      </c>
      <c r="Q5" s="29" t="s">
        <v>379</v>
      </c>
      <c r="R5" s="29" t="s">
        <v>380</v>
      </c>
      <c r="S5" s="29" t="s">
        <v>378</v>
      </c>
      <c r="T5" s="29" t="s">
        <v>381</v>
      </c>
      <c r="U5" s="29" t="s">
        <v>364</v>
      </c>
      <c r="V5" s="29" t="s">
        <v>382</v>
      </c>
      <c r="W5" s="29" t="s">
        <v>378</v>
      </c>
      <c r="X5" s="25"/>
      <c r="Y5" s="25"/>
      <c r="Z5" s="25"/>
      <c r="AA5" s="33">
        <f>IF(ISBLANK(FeedbackFrmMentor[[#This Row],[Start Date]]),"",FeedbackFrmMentor[[#This Row],[Start Date]]-WEEKDAY(FeedbackFrmMentor[[#This Row],[Start Date]],2)+1)</f>
        <v>46104.441886574074</v>
      </c>
      <c r="AB5" s="34">
        <f>TRUNC(FeedbackFrmMentor[[#This Row],[Start of Week]],0)</f>
        <v>46104</v>
      </c>
    </row>
    <row r="6" spans="1:28" s="18" customFormat="1" ht="25.2" customHeight="1" x14ac:dyDescent="0.3">
      <c r="A6" s="35">
        <v>115067614145</v>
      </c>
      <c r="B6" s="36">
        <v>438983145</v>
      </c>
      <c r="C6" s="37">
        <v>46107.870717592596</v>
      </c>
      <c r="D6" s="38">
        <v>46107.87226851852</v>
      </c>
      <c r="E6" s="36" t="s">
        <v>383</v>
      </c>
      <c r="F6" s="36"/>
      <c r="G6" s="36"/>
      <c r="H6" s="36"/>
      <c r="I6" s="36"/>
      <c r="J6" s="36" t="s">
        <v>166</v>
      </c>
      <c r="K6" s="32" t="s">
        <v>375</v>
      </c>
      <c r="L6" s="36" t="s">
        <v>384</v>
      </c>
      <c r="M6" s="36" t="s">
        <v>364</v>
      </c>
      <c r="N6" s="36" t="s">
        <v>365</v>
      </c>
      <c r="O6" s="36" t="s">
        <v>377</v>
      </c>
      <c r="P6" s="36"/>
      <c r="Q6" s="36" t="s">
        <v>379</v>
      </c>
      <c r="R6" s="36" t="s">
        <v>380</v>
      </c>
      <c r="S6" s="36"/>
      <c r="T6" s="36" t="s">
        <v>381</v>
      </c>
      <c r="U6" s="36" t="s">
        <v>385</v>
      </c>
      <c r="V6" s="36" t="s">
        <v>382</v>
      </c>
      <c r="W6" s="36"/>
      <c r="X6" s="25"/>
      <c r="Y6" s="25"/>
      <c r="Z6" s="25"/>
      <c r="AA6" s="39">
        <f>IF(ISBLANK(FeedbackFrmMentor[[#This Row],[Start Date]]),"",FeedbackFrmMentor[[#This Row],[Start Date]]-WEEKDAY(FeedbackFrmMentor[[#This Row],[Start Date]],2)+1)</f>
        <v>46104.870717592596</v>
      </c>
      <c r="AB6" s="40">
        <f>TRUNC(FeedbackFrmMentor[[#This Row],[Start of Week]],0)</f>
        <v>46104</v>
      </c>
    </row>
    <row r="7" spans="1:28" s="46" customFormat="1" ht="25.2" customHeight="1" x14ac:dyDescent="0.3">
      <c r="A7" s="41">
        <v>115063561843</v>
      </c>
      <c r="B7" s="42">
        <v>438983145</v>
      </c>
      <c r="C7" s="43">
        <v>46101.725821759261</v>
      </c>
      <c r="D7" s="44">
        <v>46101.728356481479</v>
      </c>
      <c r="E7" s="42" t="s">
        <v>386</v>
      </c>
      <c r="F7" s="42"/>
      <c r="G7" s="42"/>
      <c r="H7" s="42"/>
      <c r="I7" s="42"/>
      <c r="J7" s="42" t="s">
        <v>23</v>
      </c>
      <c r="K7" s="45" t="s">
        <v>375</v>
      </c>
      <c r="L7" s="42" t="s">
        <v>387</v>
      </c>
      <c r="M7" s="42" t="s">
        <v>364</v>
      </c>
      <c r="N7" s="42" t="s">
        <v>365</v>
      </c>
      <c r="O7" s="42" t="s">
        <v>366</v>
      </c>
      <c r="P7" s="42" t="s">
        <v>388</v>
      </c>
      <c r="Q7" s="42" t="s">
        <v>356</v>
      </c>
      <c r="R7" s="42" t="s">
        <v>380</v>
      </c>
      <c r="S7" s="42" t="s">
        <v>389</v>
      </c>
      <c r="T7" s="42" t="s">
        <v>381</v>
      </c>
      <c r="U7" s="42" t="s">
        <v>364</v>
      </c>
      <c r="V7" s="42" t="s">
        <v>382</v>
      </c>
      <c r="W7" s="42" t="s">
        <v>390</v>
      </c>
      <c r="X7" s="42"/>
      <c r="Y7" s="42"/>
      <c r="Z7" s="42"/>
      <c r="AA7" s="39">
        <f>IF(ISBLANK(FeedbackFrmMentor[[#This Row],[Start Date]]),"",FeedbackFrmMentor[[#This Row],[Start Date]]-WEEKDAY(FeedbackFrmMentor[[#This Row],[Start Date]],2)+1)</f>
        <v>46097.725821759261</v>
      </c>
      <c r="AB7" s="40">
        <f>TRUNC(FeedbackFrmMentor[[#This Row],[Start of Week]],0)</f>
        <v>46097</v>
      </c>
    </row>
    <row r="8" spans="1:28" s="46" customFormat="1" ht="25.2" customHeight="1" x14ac:dyDescent="0.3">
      <c r="A8" s="41">
        <v>115062975290</v>
      </c>
      <c r="B8" s="42">
        <v>438983145</v>
      </c>
      <c r="C8" s="43">
        <v>46100.831793981481</v>
      </c>
      <c r="D8" s="44">
        <v>46100.837418981479</v>
      </c>
      <c r="E8" s="42" t="s">
        <v>391</v>
      </c>
      <c r="F8" s="42"/>
      <c r="G8" s="42"/>
      <c r="H8" s="42"/>
      <c r="I8" s="42"/>
      <c r="J8" s="42" t="s">
        <v>83</v>
      </c>
      <c r="K8" s="45" t="s">
        <v>375</v>
      </c>
      <c r="L8" s="42" t="s">
        <v>376</v>
      </c>
      <c r="M8" s="42" t="s">
        <v>364</v>
      </c>
      <c r="N8" s="42" t="s">
        <v>365</v>
      </c>
      <c r="O8" s="42" t="s">
        <v>377</v>
      </c>
      <c r="P8" s="42" t="s">
        <v>392</v>
      </c>
      <c r="Q8" s="42" t="s">
        <v>379</v>
      </c>
      <c r="R8" s="42" t="s">
        <v>380</v>
      </c>
      <c r="S8" s="42" t="s">
        <v>393</v>
      </c>
      <c r="T8" s="42" t="s">
        <v>381</v>
      </c>
      <c r="U8" s="42" t="s">
        <v>364</v>
      </c>
      <c r="V8" s="42" t="s">
        <v>382</v>
      </c>
      <c r="W8" s="42" t="s">
        <v>393</v>
      </c>
      <c r="X8" s="42"/>
      <c r="Y8" s="42"/>
      <c r="Z8" s="42"/>
      <c r="AA8" s="39">
        <f>IF(ISBLANK(FeedbackFrmMentor[[#This Row],[Start Date]]),"",FeedbackFrmMentor[[#This Row],[Start Date]]-WEEKDAY(FeedbackFrmMentor[[#This Row],[Start Date]],2)+1)</f>
        <v>46097.831793981481</v>
      </c>
      <c r="AB8" s="40">
        <f>TRUNC(FeedbackFrmMentor[[#This Row],[Start of Week]],0)</f>
        <v>46097</v>
      </c>
    </row>
    <row r="9" spans="1:28" s="46" customFormat="1" ht="25.2" customHeight="1" x14ac:dyDescent="0.3">
      <c r="A9" s="41">
        <v>115061108178</v>
      </c>
      <c r="B9" s="42">
        <v>438983145</v>
      </c>
      <c r="C9" s="43">
        <v>46098.418368055558</v>
      </c>
      <c r="D9" s="44">
        <v>46098.428715277776</v>
      </c>
      <c r="E9" s="42" t="s">
        <v>394</v>
      </c>
      <c r="F9" s="42"/>
      <c r="G9" s="42"/>
      <c r="H9" s="42"/>
      <c r="I9" s="42"/>
      <c r="J9" s="25" t="s">
        <v>90</v>
      </c>
      <c r="K9" s="45" t="s">
        <v>89</v>
      </c>
      <c r="L9" s="42" t="s">
        <v>395</v>
      </c>
      <c r="M9" s="42" t="s">
        <v>396</v>
      </c>
      <c r="N9" s="42" t="s">
        <v>370</v>
      </c>
      <c r="O9" s="42" t="s">
        <v>366</v>
      </c>
      <c r="P9" s="42" t="s">
        <v>397</v>
      </c>
      <c r="Q9" s="42" t="s">
        <v>379</v>
      </c>
      <c r="R9" s="42" t="s">
        <v>380</v>
      </c>
      <c r="S9" s="42" t="s">
        <v>398</v>
      </c>
      <c r="T9" s="42" t="s">
        <v>381</v>
      </c>
      <c r="U9" s="42" t="s">
        <v>385</v>
      </c>
      <c r="V9" s="42" t="s">
        <v>382</v>
      </c>
      <c r="W9" s="42" t="s">
        <v>399</v>
      </c>
      <c r="X9" s="42"/>
      <c r="Y9" s="42"/>
      <c r="Z9" s="42"/>
      <c r="AA9" s="39">
        <f>IF(ISBLANK(FeedbackFrmMentor[[#This Row],[Start Date]]),"",FeedbackFrmMentor[[#This Row],[Start Date]]-WEEKDAY(FeedbackFrmMentor[[#This Row],[Start Date]],2)+1)</f>
        <v>46097.418368055558</v>
      </c>
      <c r="AB9" s="40">
        <f>TRUNC(FeedbackFrmMentor[[#This Row],[Start of Week]],0)</f>
        <v>46097</v>
      </c>
    </row>
    <row r="10" spans="1:28" s="46" customFormat="1" ht="25.2" customHeight="1" x14ac:dyDescent="0.3">
      <c r="A10" s="41">
        <v>115060504360</v>
      </c>
      <c r="B10" s="42">
        <v>438983145</v>
      </c>
      <c r="C10" s="43">
        <v>46097.71638888889</v>
      </c>
      <c r="D10" s="44">
        <v>46097.719872685186</v>
      </c>
      <c r="E10" s="42" t="s">
        <v>400</v>
      </c>
      <c r="F10" s="42"/>
      <c r="G10" s="42"/>
      <c r="H10" s="42"/>
      <c r="I10" s="42"/>
      <c r="J10" s="42" t="s">
        <v>106</v>
      </c>
      <c r="K10" s="42" t="s">
        <v>93</v>
      </c>
      <c r="L10" s="42" t="s">
        <v>401</v>
      </c>
      <c r="M10" s="42" t="s">
        <v>396</v>
      </c>
      <c r="N10" s="42" t="s">
        <v>402</v>
      </c>
      <c r="O10" s="42" t="s">
        <v>366</v>
      </c>
      <c r="P10" s="42" t="s">
        <v>403</v>
      </c>
      <c r="Q10" s="42" t="s">
        <v>379</v>
      </c>
      <c r="R10" s="42" t="s">
        <v>357</v>
      </c>
      <c r="S10" s="42" t="s">
        <v>404</v>
      </c>
      <c r="T10" s="42" t="s">
        <v>405</v>
      </c>
      <c r="U10" s="42" t="s">
        <v>385</v>
      </c>
      <c r="V10" s="42" t="s">
        <v>406</v>
      </c>
      <c r="W10" s="42" t="s">
        <v>407</v>
      </c>
      <c r="X10" s="42"/>
      <c r="Y10" s="42"/>
      <c r="Z10" s="42"/>
      <c r="AA10" s="39">
        <f>IF(ISBLANK(FeedbackFrmMentor[[#This Row],[Start Date]]),"",FeedbackFrmMentor[[#This Row],[Start Date]]-WEEKDAY(FeedbackFrmMentor[[#This Row],[Start Date]],2)+1)</f>
        <v>46097.71638888889</v>
      </c>
      <c r="AB10" s="40">
        <f>TRUNC(FeedbackFrmMentor[[#This Row],[Start of Week]],0)</f>
        <v>46097</v>
      </c>
    </row>
    <row r="11" spans="1:28" s="46" customFormat="1" ht="25.2" customHeight="1" x14ac:dyDescent="0.3">
      <c r="A11" s="41">
        <v>115060464576</v>
      </c>
      <c r="B11" s="42">
        <v>438983145</v>
      </c>
      <c r="C11" s="43">
        <v>46097.653796296298</v>
      </c>
      <c r="D11" s="44">
        <v>46097.655104166668</v>
      </c>
      <c r="E11" s="42" t="s">
        <v>408</v>
      </c>
      <c r="F11" s="42"/>
      <c r="G11" s="42"/>
      <c r="H11" s="42"/>
      <c r="I11" s="42"/>
      <c r="J11" s="42" t="s">
        <v>94</v>
      </c>
      <c r="K11" s="42" t="s">
        <v>93</v>
      </c>
      <c r="L11" s="42" t="s">
        <v>409</v>
      </c>
      <c r="M11" s="42" t="s">
        <v>396</v>
      </c>
      <c r="N11" s="42" t="s">
        <v>365</v>
      </c>
      <c r="O11" s="42" t="s">
        <v>366</v>
      </c>
      <c r="P11" s="42" t="s">
        <v>410</v>
      </c>
      <c r="Q11" s="42" t="s">
        <v>356</v>
      </c>
      <c r="R11" s="42" t="s">
        <v>357</v>
      </c>
      <c r="S11" s="42" t="s">
        <v>410</v>
      </c>
      <c r="T11" s="42" t="s">
        <v>405</v>
      </c>
      <c r="U11" s="42" t="s">
        <v>385</v>
      </c>
      <c r="V11" s="42" t="s">
        <v>406</v>
      </c>
      <c r="W11" s="42" t="s">
        <v>411</v>
      </c>
      <c r="X11" s="42"/>
      <c r="Y11" s="42"/>
      <c r="Z11" s="42"/>
      <c r="AA11" s="39">
        <f>IF(ISBLANK(FeedbackFrmMentor[[#This Row],[Start Date]]),"",FeedbackFrmMentor[[#This Row],[Start Date]]-WEEKDAY(FeedbackFrmMentor[[#This Row],[Start Date]],2)+1)</f>
        <v>46097.653796296298</v>
      </c>
      <c r="AB11" s="40">
        <f>TRUNC(FeedbackFrmMentor[[#This Row],[Start of Week]],0)</f>
        <v>46097</v>
      </c>
    </row>
    <row r="12" spans="1:28" s="46" customFormat="1" ht="25.2" customHeight="1" x14ac:dyDescent="0.3">
      <c r="A12" s="41">
        <v>115055433189</v>
      </c>
      <c r="B12" s="42">
        <v>438983145</v>
      </c>
      <c r="C12" s="43">
        <v>46090.622893518521</v>
      </c>
      <c r="D12" s="44">
        <v>46090.624641203707</v>
      </c>
      <c r="E12" s="42" t="s">
        <v>412</v>
      </c>
      <c r="F12" s="42"/>
      <c r="G12" s="42"/>
      <c r="H12" s="42"/>
      <c r="I12" s="42"/>
      <c r="J12" s="42" t="s">
        <v>94</v>
      </c>
      <c r="K12" s="42" t="s">
        <v>93</v>
      </c>
      <c r="L12" s="42" t="s">
        <v>413</v>
      </c>
      <c r="M12" s="42" t="s">
        <v>364</v>
      </c>
      <c r="N12" s="42" t="s">
        <v>402</v>
      </c>
      <c r="O12" s="42" t="s">
        <v>366</v>
      </c>
      <c r="P12" s="42" t="s">
        <v>414</v>
      </c>
      <c r="Q12" s="42" t="s">
        <v>356</v>
      </c>
      <c r="R12" s="42" t="s">
        <v>380</v>
      </c>
      <c r="S12" s="42" t="s">
        <v>415</v>
      </c>
      <c r="T12" s="42" t="s">
        <v>381</v>
      </c>
      <c r="U12" s="42" t="s">
        <v>385</v>
      </c>
      <c r="V12" s="42" t="s">
        <v>382</v>
      </c>
      <c r="W12" s="42"/>
      <c r="X12" s="42"/>
      <c r="Y12" s="42"/>
      <c r="Z12" s="42"/>
      <c r="AA12" s="39">
        <f>IF(ISBLANK(FeedbackFrmMentor[[#This Row],[Start Date]]),"",FeedbackFrmMentor[[#This Row],[Start Date]]-WEEKDAY(FeedbackFrmMentor[[#This Row],[Start Date]],2)+1)</f>
        <v>46090.622893518521</v>
      </c>
      <c r="AB12" s="40">
        <f>TRUNC(FeedbackFrmMentor[[#This Row],[Start of Week]],0)</f>
        <v>46090</v>
      </c>
    </row>
    <row r="13" spans="1:28" ht="25.2" customHeight="1" x14ac:dyDescent="0.3">
      <c r="A13" s="25"/>
      <c r="B13" s="25"/>
      <c r="C13" s="43">
        <v>46072.643009259256</v>
      </c>
      <c r="D13" s="25"/>
      <c r="E13" s="25"/>
      <c r="F13" s="25"/>
      <c r="G13" s="25"/>
      <c r="H13" s="25"/>
      <c r="I13" s="25"/>
      <c r="J13" s="36" t="s">
        <v>416</v>
      </c>
      <c r="K13" s="36" t="s">
        <v>417</v>
      </c>
      <c r="L13" s="47" t="s">
        <v>418</v>
      </c>
      <c r="M13" s="47" t="s">
        <v>352</v>
      </c>
      <c r="N13" s="47" t="s">
        <v>370</v>
      </c>
      <c r="O13" s="42" t="s">
        <v>366</v>
      </c>
      <c r="P13" s="48"/>
      <c r="Q13" s="48"/>
      <c r="R13" s="48"/>
      <c r="S13" s="48"/>
      <c r="T13" s="25"/>
      <c r="U13" s="25"/>
      <c r="V13" s="25"/>
      <c r="W13" s="25"/>
      <c r="X13" s="25"/>
      <c r="Y13" s="25"/>
      <c r="Z13" s="25"/>
      <c r="AA13" s="25">
        <f>IF(ISBLANK(FeedbackFrmMentor[[#This Row],[Start Date]]),"",FeedbackFrmMentor[[#This Row],[Start Date]]-WEEKDAY(FeedbackFrmMentor[[#This Row],[Start Date]],2)+1)</f>
        <v>46069.643009259256</v>
      </c>
      <c r="AB13" s="26">
        <f>TRUNC(FeedbackFrmMentor[[#This Row],[Start of Week]],0)</f>
        <v>46069</v>
      </c>
    </row>
    <row r="14" spans="1:28" ht="25.2" customHeight="1" x14ac:dyDescent="0.3">
      <c r="A14" s="25"/>
      <c r="B14" s="25"/>
      <c r="C14" s="43">
        <v>46072.649988425925</v>
      </c>
      <c r="D14" s="25"/>
      <c r="E14" s="25"/>
      <c r="F14" s="25"/>
      <c r="G14" s="25"/>
      <c r="H14" s="25"/>
      <c r="I14" s="25"/>
      <c r="J14" s="47" t="s">
        <v>210</v>
      </c>
      <c r="K14" s="47" t="s">
        <v>419</v>
      </c>
      <c r="L14" s="47" t="s">
        <v>420</v>
      </c>
      <c r="M14" s="47" t="s">
        <v>352</v>
      </c>
      <c r="N14" s="47" t="s">
        <v>353</v>
      </c>
      <c r="O14" s="47" t="s">
        <v>354</v>
      </c>
      <c r="P14" s="48"/>
      <c r="Q14" s="48"/>
      <c r="R14" s="48"/>
      <c r="S14" s="48"/>
      <c r="T14" s="25"/>
      <c r="U14" s="25"/>
      <c r="V14" s="25"/>
      <c r="W14" s="25"/>
      <c r="X14" s="25"/>
      <c r="Y14" s="25"/>
      <c r="Z14" s="25"/>
      <c r="AA14" s="25">
        <f>IF(ISBLANK(FeedbackFrmMentor[[#This Row],[Start Date]]),"",FeedbackFrmMentor[[#This Row],[Start Date]]-WEEKDAY(FeedbackFrmMentor[[#This Row],[Start Date]],2)+1)</f>
        <v>46069.649988425925</v>
      </c>
      <c r="AB14" s="26">
        <f>TRUNC(FeedbackFrmMentor[[#This Row],[Start of Week]],0)</f>
        <v>46069</v>
      </c>
    </row>
    <row r="15" spans="1:28" ht="25.2" customHeight="1" x14ac:dyDescent="0.3">
      <c r="A15" s="25"/>
      <c r="B15" s="25"/>
      <c r="C15" s="43">
        <v>46072.658842592595</v>
      </c>
      <c r="D15" s="25"/>
      <c r="E15" s="25"/>
      <c r="F15" s="25"/>
      <c r="G15" s="25"/>
      <c r="H15" s="25"/>
      <c r="I15" s="25"/>
      <c r="J15" s="36" t="s">
        <v>60</v>
      </c>
      <c r="K15" s="36" t="s">
        <v>59</v>
      </c>
      <c r="L15" s="50" t="s">
        <v>421</v>
      </c>
      <c r="M15" s="47" t="s">
        <v>364</v>
      </c>
      <c r="N15" s="47" t="s">
        <v>365</v>
      </c>
      <c r="O15" s="42" t="s">
        <v>377</v>
      </c>
      <c r="P15" s="48"/>
      <c r="Q15" s="48"/>
      <c r="R15" s="48"/>
      <c r="S15" s="48"/>
      <c r="T15" s="25"/>
      <c r="U15" s="25"/>
      <c r="V15" s="25"/>
      <c r="W15" s="25"/>
      <c r="X15" s="25"/>
      <c r="Y15" s="25"/>
      <c r="Z15" s="25"/>
      <c r="AA15" s="25">
        <f>IF(ISBLANK(FeedbackFrmMentor[[#This Row],[Start Date]]),"",FeedbackFrmMentor[[#This Row],[Start Date]]-WEEKDAY(FeedbackFrmMentor[[#This Row],[Start Date]],2)+1)</f>
        <v>46069.658842592595</v>
      </c>
      <c r="AB15" s="26">
        <f>TRUNC(FeedbackFrmMentor[[#This Row],[Start of Week]],0)</f>
        <v>46069</v>
      </c>
    </row>
    <row r="16" spans="1:28" ht="25.2" customHeight="1" x14ac:dyDescent="0.3">
      <c r="A16" s="25"/>
      <c r="B16" s="25"/>
      <c r="C16" s="43">
        <v>46072.677951388891</v>
      </c>
      <c r="D16" s="25"/>
      <c r="E16" s="25"/>
      <c r="F16" s="25"/>
      <c r="G16" s="25"/>
      <c r="H16" s="25"/>
      <c r="I16" s="25"/>
      <c r="J16" s="36" t="s">
        <v>115</v>
      </c>
      <c r="K16" s="51" t="s">
        <v>114</v>
      </c>
      <c r="L16" s="47" t="s">
        <v>422</v>
      </c>
      <c r="M16" s="47" t="s">
        <v>352</v>
      </c>
      <c r="N16" s="47" t="s">
        <v>370</v>
      </c>
      <c r="O16" s="47" t="s">
        <v>371</v>
      </c>
      <c r="P16" s="48"/>
      <c r="Q16" s="48"/>
      <c r="R16" s="48"/>
      <c r="S16" s="48"/>
      <c r="T16" s="25"/>
      <c r="U16" s="25"/>
      <c r="V16" s="25"/>
      <c r="W16" s="25"/>
      <c r="X16" s="25"/>
      <c r="Y16" s="25"/>
      <c r="Z16" s="25"/>
      <c r="AA16" s="25">
        <f>IF(ISBLANK(FeedbackFrmMentor[[#This Row],[Start Date]]),"",FeedbackFrmMentor[[#This Row],[Start Date]]-WEEKDAY(FeedbackFrmMentor[[#This Row],[Start Date]],2)+1)</f>
        <v>46069.677951388891</v>
      </c>
      <c r="AB16" s="26">
        <f>TRUNC(FeedbackFrmMentor[[#This Row],[Start of Week]],0)</f>
        <v>46069</v>
      </c>
    </row>
    <row r="17" spans="1:28" ht="25.2" customHeight="1" x14ac:dyDescent="0.3">
      <c r="A17" s="25"/>
      <c r="B17" s="25"/>
      <c r="C17" s="43">
        <v>46072.683298611111</v>
      </c>
      <c r="D17" s="25"/>
      <c r="E17" s="25"/>
      <c r="F17" s="25"/>
      <c r="G17" s="25"/>
      <c r="H17" s="25"/>
      <c r="I17" s="25"/>
      <c r="J17" s="36" t="s">
        <v>53</v>
      </c>
      <c r="K17" s="52" t="s">
        <v>52</v>
      </c>
      <c r="L17" s="47" t="s">
        <v>423</v>
      </c>
      <c r="M17" s="47" t="s">
        <v>364</v>
      </c>
      <c r="N17" s="47" t="s">
        <v>365</v>
      </c>
      <c r="O17" s="42" t="s">
        <v>366</v>
      </c>
      <c r="P17" s="48"/>
      <c r="Q17" s="48"/>
      <c r="R17" s="48"/>
      <c r="S17" s="48"/>
      <c r="T17" s="25"/>
      <c r="U17" s="25"/>
      <c r="V17" s="25"/>
      <c r="W17" s="25"/>
      <c r="X17" s="25"/>
      <c r="Y17" s="25"/>
      <c r="Z17" s="25"/>
      <c r="AA17" s="25">
        <f>IF(ISBLANK(FeedbackFrmMentor[[#This Row],[Start Date]]),"",FeedbackFrmMentor[[#This Row],[Start Date]]-WEEKDAY(FeedbackFrmMentor[[#This Row],[Start Date]],2)+1)</f>
        <v>46069.683298611111</v>
      </c>
      <c r="AB17" s="26">
        <f>TRUNC(FeedbackFrmMentor[[#This Row],[Start of Week]],0)</f>
        <v>46069</v>
      </c>
    </row>
    <row r="18" spans="1:28" ht="25.2" customHeight="1" x14ac:dyDescent="0.3">
      <c r="A18" s="25"/>
      <c r="B18" s="25"/>
      <c r="C18" s="43">
        <v>46072.745787037034</v>
      </c>
      <c r="D18" s="25"/>
      <c r="E18" s="25"/>
      <c r="F18" s="25"/>
      <c r="G18" s="25"/>
      <c r="H18" s="25"/>
      <c r="I18" s="25"/>
      <c r="J18" s="36" t="s">
        <v>115</v>
      </c>
      <c r="K18" s="52" t="s">
        <v>424</v>
      </c>
      <c r="L18" s="52" t="s">
        <v>425</v>
      </c>
      <c r="M18" s="47" t="s">
        <v>364</v>
      </c>
      <c r="N18" s="47" t="s">
        <v>365</v>
      </c>
      <c r="O18" s="42" t="s">
        <v>377</v>
      </c>
      <c r="P18" s="48"/>
      <c r="Q18" s="48"/>
      <c r="R18" s="48"/>
      <c r="S18" s="48"/>
      <c r="T18" s="25"/>
      <c r="U18" s="25"/>
      <c r="V18" s="25"/>
      <c r="W18" s="25"/>
      <c r="X18" s="25"/>
      <c r="Y18" s="25"/>
      <c r="Z18" s="25"/>
      <c r="AA18" s="25">
        <f>IF(ISBLANK(FeedbackFrmMentor[[#This Row],[Start Date]]),"",FeedbackFrmMentor[[#This Row],[Start Date]]-WEEKDAY(FeedbackFrmMentor[[#This Row],[Start Date]],2)+1)</f>
        <v>46069.745787037034</v>
      </c>
      <c r="AB18" s="26">
        <f>TRUNC(FeedbackFrmMentor[[#This Row],[Start of Week]],0)</f>
        <v>46069</v>
      </c>
    </row>
    <row r="19" spans="1:28" ht="25.2" customHeight="1" x14ac:dyDescent="0.3">
      <c r="A19" s="25"/>
      <c r="B19" s="25"/>
      <c r="C19" s="43">
        <v>46072.767928240741</v>
      </c>
      <c r="D19" s="25"/>
      <c r="E19" s="25"/>
      <c r="F19" s="25"/>
      <c r="G19" s="25"/>
      <c r="H19" s="25"/>
      <c r="I19" s="25"/>
      <c r="J19" s="53" t="s">
        <v>123</v>
      </c>
      <c r="K19" s="51" t="s">
        <v>114</v>
      </c>
      <c r="L19" s="52" t="s">
        <v>422</v>
      </c>
      <c r="M19" s="47" t="s">
        <v>364</v>
      </c>
      <c r="N19" s="47" t="s">
        <v>365</v>
      </c>
      <c r="O19" s="42" t="s">
        <v>377</v>
      </c>
      <c r="P19" s="48"/>
      <c r="Q19" s="48"/>
      <c r="R19" s="48"/>
      <c r="S19" s="48"/>
      <c r="T19" s="25"/>
      <c r="U19" s="25"/>
      <c r="V19" s="25"/>
      <c r="W19" s="25"/>
      <c r="X19" s="25"/>
      <c r="Y19" s="25"/>
      <c r="Z19" s="25"/>
      <c r="AA19" s="25">
        <f>IF(ISBLANK(FeedbackFrmMentor[[#This Row],[Start Date]]),"",FeedbackFrmMentor[[#This Row],[Start Date]]-WEEKDAY(FeedbackFrmMentor[[#This Row],[Start Date]],2)+1)</f>
        <v>46069.767928240741</v>
      </c>
      <c r="AB19" s="26">
        <f>TRUNC(FeedbackFrmMentor[[#This Row],[Start of Week]],0)</f>
        <v>46069</v>
      </c>
    </row>
    <row r="20" spans="1:28" ht="25.2" customHeight="1" x14ac:dyDescent="0.3">
      <c r="A20" s="25"/>
      <c r="B20" s="25"/>
      <c r="C20" s="43">
        <v>46072.768807870372</v>
      </c>
      <c r="D20" s="25"/>
      <c r="E20" s="25"/>
      <c r="F20" s="25"/>
      <c r="G20" s="25"/>
      <c r="H20" s="25"/>
      <c r="I20" s="25"/>
      <c r="J20" s="54" t="s">
        <v>119</v>
      </c>
      <c r="K20" s="51" t="s">
        <v>114</v>
      </c>
      <c r="L20" s="52" t="s">
        <v>422</v>
      </c>
      <c r="M20" s="47" t="s">
        <v>364</v>
      </c>
      <c r="N20" s="47" t="s">
        <v>365</v>
      </c>
      <c r="O20" s="42" t="s">
        <v>377</v>
      </c>
      <c r="P20" s="48"/>
      <c r="Q20" s="48"/>
      <c r="R20" s="48"/>
      <c r="S20" s="48"/>
      <c r="T20" s="25"/>
      <c r="U20" s="25"/>
      <c r="V20" s="25"/>
      <c r="W20" s="25"/>
      <c r="X20" s="25"/>
      <c r="Y20" s="25"/>
      <c r="Z20" s="25"/>
      <c r="AA20" s="25">
        <f>IF(ISBLANK(FeedbackFrmMentor[[#This Row],[Start Date]]),"",FeedbackFrmMentor[[#This Row],[Start Date]]-WEEKDAY(FeedbackFrmMentor[[#This Row],[Start Date]],2)+1)</f>
        <v>46069.768807870372</v>
      </c>
      <c r="AB20" s="26">
        <f>TRUNC(FeedbackFrmMentor[[#This Row],[Start of Week]],0)</f>
        <v>46069</v>
      </c>
    </row>
    <row r="21" spans="1:28" ht="25.2" customHeight="1" x14ac:dyDescent="0.3">
      <c r="A21" s="25"/>
      <c r="B21" s="25"/>
      <c r="C21" s="43">
        <v>46072.7812037037</v>
      </c>
      <c r="D21" s="25"/>
      <c r="E21" s="25"/>
      <c r="F21" s="25"/>
      <c r="G21" s="25"/>
      <c r="H21" s="25"/>
      <c r="I21" s="25"/>
      <c r="J21" s="55" t="s">
        <v>101</v>
      </c>
      <c r="K21" s="55" t="s">
        <v>100</v>
      </c>
      <c r="L21" s="52" t="s">
        <v>426</v>
      </c>
      <c r="M21" s="47" t="s">
        <v>396</v>
      </c>
      <c r="N21" s="47" t="s">
        <v>402</v>
      </c>
      <c r="O21" s="42" t="s">
        <v>366</v>
      </c>
      <c r="P21" s="48"/>
      <c r="Q21" s="48"/>
      <c r="R21" s="48"/>
      <c r="S21" s="48"/>
      <c r="T21" s="25"/>
      <c r="U21" s="25"/>
      <c r="V21" s="25"/>
      <c r="W21" s="25"/>
      <c r="X21" s="25"/>
      <c r="Y21" s="25"/>
      <c r="Z21" s="25"/>
      <c r="AA21" s="25">
        <f>IF(ISBLANK(FeedbackFrmMentor[[#This Row],[Start Date]]),"",FeedbackFrmMentor[[#This Row],[Start Date]]-WEEKDAY(FeedbackFrmMentor[[#This Row],[Start Date]],2)+1)</f>
        <v>46069.7812037037</v>
      </c>
      <c r="AB21" s="26">
        <f>TRUNC(FeedbackFrmMentor[[#This Row],[Start of Week]],0)</f>
        <v>46069</v>
      </c>
    </row>
    <row r="22" spans="1:28" ht="25.2" customHeight="1" x14ac:dyDescent="0.3">
      <c r="A22" s="25"/>
      <c r="B22" s="25"/>
      <c r="C22" s="43">
        <v>46072.802106481482</v>
      </c>
      <c r="D22" s="25"/>
      <c r="E22" s="25"/>
      <c r="F22" s="25"/>
      <c r="G22" s="25"/>
      <c r="H22" s="25"/>
      <c r="I22" s="25"/>
      <c r="J22" s="56" t="s">
        <v>189</v>
      </c>
      <c r="K22" s="57" t="s">
        <v>188</v>
      </c>
      <c r="L22" s="52" t="s">
        <v>427</v>
      </c>
      <c r="M22" s="47" t="s">
        <v>364</v>
      </c>
      <c r="N22" s="47" t="s">
        <v>365</v>
      </c>
      <c r="O22" s="42" t="s">
        <v>377</v>
      </c>
      <c r="P22" s="48"/>
      <c r="Q22" s="48"/>
      <c r="R22" s="48"/>
      <c r="S22" s="48"/>
      <c r="T22" s="25"/>
      <c r="U22" s="25"/>
      <c r="V22" s="25"/>
      <c r="W22" s="25"/>
      <c r="X22" s="25"/>
      <c r="Y22" s="25"/>
      <c r="Z22" s="25"/>
      <c r="AA22" s="25">
        <f>IF(ISBLANK(FeedbackFrmMentor[[#This Row],[Start Date]]),"",FeedbackFrmMentor[[#This Row],[Start Date]]-WEEKDAY(FeedbackFrmMentor[[#This Row],[Start Date]],2)+1)</f>
        <v>46069.802106481482</v>
      </c>
      <c r="AB22" s="26">
        <f>TRUNC(FeedbackFrmMentor[[#This Row],[Start of Week]],0)</f>
        <v>46069</v>
      </c>
    </row>
    <row r="23" spans="1:28" ht="25.2" customHeight="1" x14ac:dyDescent="0.3">
      <c r="A23" s="25"/>
      <c r="B23" s="25"/>
      <c r="C23" s="43">
        <v>46072.807893518519</v>
      </c>
      <c r="D23" s="25"/>
      <c r="E23" s="25"/>
      <c r="F23" s="25"/>
      <c r="G23" s="25"/>
      <c r="H23" s="25"/>
      <c r="I23" s="25"/>
      <c r="J23" s="36" t="s">
        <v>189</v>
      </c>
      <c r="K23" s="36" t="s">
        <v>428</v>
      </c>
      <c r="L23" s="52" t="s">
        <v>429</v>
      </c>
      <c r="M23" s="47" t="s">
        <v>364</v>
      </c>
      <c r="N23" s="47" t="s">
        <v>365</v>
      </c>
      <c r="O23" s="42" t="s">
        <v>377</v>
      </c>
      <c r="P23" s="48"/>
      <c r="Q23" s="48"/>
      <c r="R23" s="48"/>
      <c r="S23" s="48"/>
      <c r="T23" s="25"/>
      <c r="U23" s="25"/>
      <c r="V23" s="25"/>
      <c r="W23" s="25"/>
      <c r="X23" s="25"/>
      <c r="Y23" s="25"/>
      <c r="Z23" s="25"/>
      <c r="AA23" s="25">
        <f>IF(ISBLANK(FeedbackFrmMentor[[#This Row],[Start Date]]),"",FeedbackFrmMentor[[#This Row],[Start Date]]-WEEKDAY(FeedbackFrmMentor[[#This Row],[Start Date]],2)+1)</f>
        <v>46069.807893518519</v>
      </c>
      <c r="AB23" s="26">
        <f>TRUNC(FeedbackFrmMentor[[#This Row],[Start of Week]],0)</f>
        <v>46069</v>
      </c>
    </row>
    <row r="24" spans="1:28" ht="25.2" customHeight="1" x14ac:dyDescent="0.3">
      <c r="A24" s="25"/>
      <c r="B24" s="25"/>
      <c r="C24" s="43">
        <v>46072.810011574074</v>
      </c>
      <c r="D24" s="25"/>
      <c r="E24" s="25"/>
      <c r="F24" s="25"/>
      <c r="G24" s="25"/>
      <c r="H24" s="25"/>
      <c r="I24" s="25"/>
      <c r="J24" s="58" t="s">
        <v>178</v>
      </c>
      <c r="K24" s="36" t="s">
        <v>85</v>
      </c>
      <c r="L24" s="52" t="s">
        <v>430</v>
      </c>
      <c r="M24" s="47" t="s">
        <v>431</v>
      </c>
      <c r="N24" s="47" t="s">
        <v>432</v>
      </c>
      <c r="O24" s="47" t="s">
        <v>354</v>
      </c>
      <c r="P24" s="48"/>
      <c r="Q24" s="48"/>
      <c r="R24" s="48"/>
      <c r="S24" s="48"/>
      <c r="T24" s="25"/>
      <c r="U24" s="25"/>
      <c r="V24" s="25"/>
      <c r="W24" s="25"/>
      <c r="X24" s="25"/>
      <c r="Y24" s="25"/>
      <c r="Z24" s="25"/>
      <c r="AA24" s="25">
        <f>IF(ISBLANK(FeedbackFrmMentor[[#This Row],[Start Date]]),"",FeedbackFrmMentor[[#This Row],[Start Date]]-WEEKDAY(FeedbackFrmMentor[[#This Row],[Start Date]],2)+1)</f>
        <v>46069.810011574074</v>
      </c>
      <c r="AB24" s="26">
        <f>TRUNC(FeedbackFrmMentor[[#This Row],[Start of Week]],0)</f>
        <v>46069</v>
      </c>
    </row>
    <row r="25" spans="1:28" ht="25.2" customHeight="1" x14ac:dyDescent="0.3">
      <c r="A25" s="25"/>
      <c r="B25" s="25"/>
      <c r="C25" s="43">
        <v>46072.85052083333</v>
      </c>
      <c r="D25" s="25"/>
      <c r="E25" s="25"/>
      <c r="F25" s="25"/>
      <c r="G25" s="25"/>
      <c r="H25" s="25"/>
      <c r="I25" s="25"/>
      <c r="J25" s="59" t="s">
        <v>433</v>
      </c>
      <c r="K25" s="59" t="s">
        <v>111</v>
      </c>
      <c r="L25" s="52" t="s">
        <v>434</v>
      </c>
      <c r="M25" s="47" t="s">
        <v>364</v>
      </c>
      <c r="N25" s="47" t="s">
        <v>370</v>
      </c>
      <c r="O25" s="42" t="s">
        <v>377</v>
      </c>
      <c r="P25" s="48"/>
      <c r="Q25" s="48"/>
      <c r="R25" s="48"/>
      <c r="S25" s="48"/>
      <c r="T25" s="25"/>
      <c r="U25" s="25"/>
      <c r="V25" s="25"/>
      <c r="W25" s="25"/>
      <c r="X25" s="25"/>
      <c r="Y25" s="25"/>
      <c r="Z25" s="25"/>
      <c r="AA25" s="25">
        <f>IF(ISBLANK(FeedbackFrmMentor[[#This Row],[Start Date]]),"",FeedbackFrmMentor[[#This Row],[Start Date]]-WEEKDAY(FeedbackFrmMentor[[#This Row],[Start Date]],2)+1)</f>
        <v>46069.85052083333</v>
      </c>
      <c r="AB25" s="26">
        <f>TRUNC(FeedbackFrmMentor[[#This Row],[Start of Week]],0)</f>
        <v>46069</v>
      </c>
    </row>
    <row r="26" spans="1:28" ht="25.2" customHeight="1" x14ac:dyDescent="0.3">
      <c r="A26" s="25"/>
      <c r="B26" s="25"/>
      <c r="C26" s="43">
        <v>46073.350104166668</v>
      </c>
      <c r="D26" s="25"/>
      <c r="E26" s="25"/>
      <c r="F26" s="25"/>
      <c r="G26" s="25"/>
      <c r="H26" s="25"/>
      <c r="I26" s="25"/>
      <c r="J26" s="59" t="s">
        <v>433</v>
      </c>
      <c r="K26" s="51" t="s">
        <v>174</v>
      </c>
      <c r="L26" s="52" t="s">
        <v>435</v>
      </c>
      <c r="M26" s="47" t="s">
        <v>364</v>
      </c>
      <c r="N26" s="47" t="s">
        <v>365</v>
      </c>
      <c r="O26" s="42" t="s">
        <v>377</v>
      </c>
      <c r="P26" s="48"/>
      <c r="Q26" s="48"/>
      <c r="R26" s="48"/>
      <c r="S26" s="48"/>
      <c r="T26" s="25"/>
      <c r="U26" s="25"/>
      <c r="V26" s="25"/>
      <c r="W26" s="25"/>
      <c r="X26" s="25"/>
      <c r="Y26" s="25"/>
      <c r="Z26" s="25"/>
      <c r="AA26" s="25">
        <f>IF(ISBLANK(FeedbackFrmMentor[[#This Row],[Start Date]]),"",FeedbackFrmMentor[[#This Row],[Start Date]]-WEEKDAY(FeedbackFrmMentor[[#This Row],[Start Date]],2)+1)</f>
        <v>46069.350104166668</v>
      </c>
      <c r="AB26" s="26">
        <f>TRUNC(FeedbackFrmMentor[[#This Row],[Start of Week]],0)</f>
        <v>46069</v>
      </c>
    </row>
    <row r="27" spans="1:28" ht="25.2" customHeight="1" x14ac:dyDescent="0.3">
      <c r="A27" s="25"/>
      <c r="B27" s="25"/>
      <c r="C27" s="43">
        <v>46073.351134259261</v>
      </c>
      <c r="D27" s="25"/>
      <c r="E27" s="25"/>
      <c r="F27" s="25"/>
      <c r="G27" s="25"/>
      <c r="H27" s="25"/>
      <c r="I27" s="25"/>
      <c r="J27" s="52" t="s">
        <v>219</v>
      </c>
      <c r="K27" s="60" t="s">
        <v>45</v>
      </c>
      <c r="L27" s="52" t="s">
        <v>436</v>
      </c>
      <c r="M27" s="47" t="s">
        <v>364</v>
      </c>
      <c r="N27" s="47" t="s">
        <v>365</v>
      </c>
      <c r="O27" s="42" t="s">
        <v>377</v>
      </c>
      <c r="P27" s="48"/>
      <c r="Q27" s="48"/>
      <c r="R27" s="48"/>
      <c r="S27" s="48"/>
      <c r="T27" s="25"/>
      <c r="U27" s="25"/>
      <c r="V27" s="25"/>
      <c r="W27" s="25"/>
      <c r="X27" s="25"/>
      <c r="Y27" s="25"/>
      <c r="Z27" s="25"/>
      <c r="AA27" s="25">
        <f>IF(ISBLANK(FeedbackFrmMentor[[#This Row],[Start Date]]),"",FeedbackFrmMentor[[#This Row],[Start Date]]-WEEKDAY(FeedbackFrmMentor[[#This Row],[Start Date]],2)+1)</f>
        <v>46069.351134259261</v>
      </c>
      <c r="AB27" s="26">
        <f>TRUNC(FeedbackFrmMentor[[#This Row],[Start of Week]],0)</f>
        <v>46069</v>
      </c>
    </row>
    <row r="28" spans="1:28" ht="25.2" customHeight="1" x14ac:dyDescent="0.3">
      <c r="A28" s="25"/>
      <c r="B28" s="25"/>
      <c r="C28" s="43">
        <v>46073.363263888888</v>
      </c>
      <c r="D28" s="25"/>
      <c r="E28" s="25"/>
      <c r="F28" s="25"/>
      <c r="G28" s="25"/>
      <c r="H28" s="25"/>
      <c r="I28" s="25"/>
      <c r="J28" s="36" t="s">
        <v>30</v>
      </c>
      <c r="K28" s="61" t="s">
        <v>100</v>
      </c>
      <c r="L28" s="52" t="s">
        <v>437</v>
      </c>
      <c r="M28" s="47" t="s">
        <v>364</v>
      </c>
      <c r="N28" s="47" t="s">
        <v>370</v>
      </c>
      <c r="O28" s="42" t="s">
        <v>377</v>
      </c>
      <c r="P28" s="48"/>
      <c r="Q28" s="48"/>
      <c r="R28" s="48"/>
      <c r="S28" s="48"/>
      <c r="T28" s="25"/>
      <c r="U28" s="25"/>
      <c r="V28" s="25"/>
      <c r="W28" s="25"/>
      <c r="X28" s="25"/>
      <c r="Y28" s="25"/>
      <c r="Z28" s="25"/>
      <c r="AA28" s="25">
        <f>IF(ISBLANK(FeedbackFrmMentor[[#This Row],[Start Date]]),"",FeedbackFrmMentor[[#This Row],[Start Date]]-WEEKDAY(FeedbackFrmMentor[[#This Row],[Start Date]],2)+1)</f>
        <v>46069.363263888888</v>
      </c>
      <c r="AB28" s="26">
        <f>TRUNC(FeedbackFrmMentor[[#This Row],[Start of Week]],0)</f>
        <v>46069</v>
      </c>
    </row>
    <row r="29" spans="1:28" ht="25.2" customHeight="1" x14ac:dyDescent="0.3">
      <c r="A29" s="25"/>
      <c r="B29" s="25"/>
      <c r="C29" s="43">
        <v>46073.373159722221</v>
      </c>
      <c r="D29" s="25"/>
      <c r="E29" s="25"/>
      <c r="F29" s="25"/>
      <c r="G29" s="25"/>
      <c r="H29" s="25"/>
      <c r="I29" s="25"/>
      <c r="J29" s="36" t="s">
        <v>30</v>
      </c>
      <c r="K29" s="36" t="s">
        <v>151</v>
      </c>
      <c r="L29" s="52" t="s">
        <v>437</v>
      </c>
      <c r="M29" s="47" t="s">
        <v>396</v>
      </c>
      <c r="N29" s="47" t="s">
        <v>402</v>
      </c>
      <c r="O29" s="42" t="s">
        <v>366</v>
      </c>
      <c r="P29" s="48"/>
      <c r="Q29" s="48"/>
      <c r="R29" s="48"/>
      <c r="S29" s="48"/>
      <c r="T29" s="25"/>
      <c r="U29" s="25"/>
      <c r="V29" s="25"/>
      <c r="W29" s="25"/>
      <c r="X29" s="25"/>
      <c r="Y29" s="25"/>
      <c r="Z29" s="25"/>
      <c r="AA29" s="25">
        <f>IF(ISBLANK(FeedbackFrmMentor[[#This Row],[Start Date]]),"",FeedbackFrmMentor[[#This Row],[Start Date]]-WEEKDAY(FeedbackFrmMentor[[#This Row],[Start Date]],2)+1)</f>
        <v>46069.373159722221</v>
      </c>
      <c r="AB29" s="26">
        <f>TRUNC(FeedbackFrmMentor[[#This Row],[Start of Week]],0)</f>
        <v>46069</v>
      </c>
    </row>
    <row r="30" spans="1:28" ht="25.2" customHeight="1" x14ac:dyDescent="0.3">
      <c r="A30" s="25"/>
      <c r="B30" s="25"/>
      <c r="C30" s="43">
        <v>46073.3749537037</v>
      </c>
      <c r="D30" s="25"/>
      <c r="E30" s="25"/>
      <c r="F30" s="25"/>
      <c r="G30" s="25"/>
      <c r="H30" s="25"/>
      <c r="I30" s="25"/>
      <c r="J30" s="36" t="s">
        <v>30</v>
      </c>
      <c r="K30" s="51" t="s">
        <v>114</v>
      </c>
      <c r="L30" s="52" t="s">
        <v>437</v>
      </c>
      <c r="M30" s="47" t="s">
        <v>364</v>
      </c>
      <c r="N30" s="47" t="s">
        <v>365</v>
      </c>
      <c r="O30" s="47" t="s">
        <v>371</v>
      </c>
      <c r="P30" s="48"/>
      <c r="Q30" s="48"/>
      <c r="R30" s="48"/>
      <c r="S30" s="48"/>
      <c r="T30" s="25"/>
      <c r="U30" s="25"/>
      <c r="V30" s="25"/>
      <c r="W30" s="25"/>
      <c r="X30" s="25"/>
      <c r="Y30" s="25"/>
      <c r="Z30" s="25"/>
      <c r="AA30" s="25">
        <f>IF(ISBLANK(FeedbackFrmMentor[[#This Row],[Start Date]]),"",FeedbackFrmMentor[[#This Row],[Start Date]]-WEEKDAY(FeedbackFrmMentor[[#This Row],[Start Date]],2)+1)</f>
        <v>46069.3749537037</v>
      </c>
      <c r="AB30" s="26">
        <f>TRUNC(FeedbackFrmMentor[[#This Row],[Start of Week]],0)</f>
        <v>46069</v>
      </c>
    </row>
    <row r="31" spans="1:28" ht="25.2" customHeight="1" x14ac:dyDescent="0.3">
      <c r="A31" s="25"/>
      <c r="B31" s="25"/>
      <c r="C31" s="43">
        <v>46073.376319444447</v>
      </c>
      <c r="D31" s="25"/>
      <c r="E31" s="25"/>
      <c r="F31" s="25"/>
      <c r="G31" s="25"/>
      <c r="H31" s="25"/>
      <c r="I31" s="25"/>
      <c r="J31" s="52" t="s">
        <v>219</v>
      </c>
      <c r="K31" s="36" t="s">
        <v>165</v>
      </c>
      <c r="L31" s="52" t="s">
        <v>438</v>
      </c>
      <c r="M31" s="47" t="s">
        <v>364</v>
      </c>
      <c r="N31" s="47" t="s">
        <v>402</v>
      </c>
      <c r="O31" s="42" t="s">
        <v>366</v>
      </c>
      <c r="P31" s="48"/>
      <c r="Q31" s="48"/>
      <c r="R31" s="48"/>
      <c r="S31" s="48"/>
      <c r="T31" s="25"/>
      <c r="U31" s="25"/>
      <c r="V31" s="25"/>
      <c r="W31" s="25"/>
      <c r="X31" s="25"/>
      <c r="Y31" s="25"/>
      <c r="Z31" s="25"/>
      <c r="AA31" s="25">
        <f>IF(ISBLANK(FeedbackFrmMentor[[#This Row],[Start Date]]),"",FeedbackFrmMentor[[#This Row],[Start Date]]-WEEKDAY(FeedbackFrmMentor[[#This Row],[Start Date]],2)+1)</f>
        <v>46069.376319444447</v>
      </c>
      <c r="AB31" s="26">
        <f>TRUNC(FeedbackFrmMentor[[#This Row],[Start of Week]],0)</f>
        <v>46069</v>
      </c>
    </row>
    <row r="32" spans="1:28" ht="25.2" customHeight="1" x14ac:dyDescent="0.3">
      <c r="A32" s="25"/>
      <c r="B32" s="25"/>
      <c r="C32" s="43">
        <v>46073.410509259258</v>
      </c>
      <c r="D32" s="25"/>
      <c r="E32" s="25"/>
      <c r="F32" s="25"/>
      <c r="G32" s="25"/>
      <c r="H32" s="25"/>
      <c r="I32" s="25"/>
      <c r="J32" s="52" t="s">
        <v>219</v>
      </c>
      <c r="K32" s="62" t="s">
        <v>180</v>
      </c>
      <c r="L32" s="52" t="s">
        <v>439</v>
      </c>
      <c r="M32" s="47" t="s">
        <v>396</v>
      </c>
      <c r="N32" s="47" t="s">
        <v>365</v>
      </c>
      <c r="O32" s="42" t="s">
        <v>377</v>
      </c>
      <c r="P32" s="48"/>
      <c r="Q32" s="48"/>
      <c r="R32" s="48"/>
      <c r="S32" s="48"/>
      <c r="T32" s="25"/>
      <c r="U32" s="25"/>
      <c r="V32" s="25"/>
      <c r="W32" s="25"/>
      <c r="X32" s="25"/>
      <c r="Y32" s="25"/>
      <c r="Z32" s="25"/>
      <c r="AA32" s="63">
        <f>IF(ISBLANK(FeedbackFrmMentor[[#This Row],[Start Date]]),"",FeedbackFrmMentor[[#This Row],[Start Date]]-WEEKDAY(FeedbackFrmMentor[[#This Row],[Start Date]],2)+1)</f>
        <v>46069.410509259258</v>
      </c>
      <c r="AB32" s="64">
        <f>TRUNC(FeedbackFrmMentor[[#This Row],[Start of Week]],0)</f>
        <v>46069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5FA79-8001-4282-A796-71A7360B3063}">
  <dimension ref="A1:B8"/>
  <sheetViews>
    <sheetView workbookViewId="0">
      <selection activeCell="G5" sqref="G5"/>
    </sheetView>
  </sheetViews>
  <sheetFormatPr defaultRowHeight="14.4" x14ac:dyDescent="0.3"/>
  <cols>
    <col min="1" max="1" width="11.6640625" bestFit="1" customWidth="1"/>
    <col min="2" max="2" width="21.33203125" bestFit="1" customWidth="1"/>
  </cols>
  <sheetData>
    <row r="1" spans="1:2" x14ac:dyDescent="0.3">
      <c r="A1" s="83" t="s">
        <v>349</v>
      </c>
      <c r="B1" t="s">
        <v>312</v>
      </c>
    </row>
    <row r="2" spans="1:2" x14ac:dyDescent="0.3">
      <c r="A2" s="4">
        <v>46069</v>
      </c>
      <c r="B2">
        <v>20</v>
      </c>
    </row>
    <row r="3" spans="1:2" x14ac:dyDescent="0.3">
      <c r="A3" s="4">
        <v>46090</v>
      </c>
      <c r="B3">
        <v>1</v>
      </c>
    </row>
    <row r="4" spans="1:2" x14ac:dyDescent="0.3">
      <c r="A4" s="4">
        <v>46097</v>
      </c>
      <c r="B4">
        <v>5</v>
      </c>
    </row>
    <row r="5" spans="1:2" x14ac:dyDescent="0.3">
      <c r="A5" s="4">
        <v>46104</v>
      </c>
      <c r="B5">
        <v>2</v>
      </c>
    </row>
    <row r="6" spans="1:2" x14ac:dyDescent="0.3">
      <c r="A6" s="4">
        <v>46118</v>
      </c>
      <c r="B6">
        <v>2</v>
      </c>
    </row>
    <row r="7" spans="1:2" x14ac:dyDescent="0.3">
      <c r="A7" s="4">
        <v>46125</v>
      </c>
      <c r="B7">
        <v>1</v>
      </c>
    </row>
    <row r="8" spans="1:2" x14ac:dyDescent="0.3">
      <c r="A8" s="4" t="s">
        <v>313</v>
      </c>
      <c r="B8">
        <v>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70DFF-0B8B-4149-98C8-7B006042252E}">
  <dimension ref="A1:F22"/>
  <sheetViews>
    <sheetView workbookViewId="0">
      <selection activeCell="M21" sqref="M21"/>
    </sheetView>
  </sheetViews>
  <sheetFormatPr defaultRowHeight="14.4" x14ac:dyDescent="0.3"/>
  <cols>
    <col min="1" max="1" width="22.109375" bestFit="1" customWidth="1"/>
    <col min="5" max="5" width="20.6640625" bestFit="1" customWidth="1"/>
  </cols>
  <sheetData>
    <row r="1" spans="1:6" ht="15" thickBot="1" x14ac:dyDescent="0.35"/>
    <row r="2" spans="1:6" ht="15" thickBot="1" x14ac:dyDescent="0.35">
      <c r="A2" s="74" t="s">
        <v>440</v>
      </c>
      <c r="B2" s="75" t="s">
        <v>441</v>
      </c>
      <c r="E2" s="74" t="s">
        <v>442</v>
      </c>
      <c r="F2" s="75" t="s">
        <v>441</v>
      </c>
    </row>
    <row r="3" spans="1:6" x14ac:dyDescent="0.3">
      <c r="A3" s="69" t="s">
        <v>116</v>
      </c>
      <c r="B3" s="70">
        <f>COUNTIFS(FeedbackTracker[How useful was this mentor session for your current business priorities?],'NPS Calculation'!A3,FeedbackTracker[Response Category],"&lt;&gt;Duplicate")</f>
        <v>2</v>
      </c>
      <c r="E3" s="69" t="s">
        <v>431</v>
      </c>
      <c r="F3" s="70">
        <f>COUNTIFS(FeedbackFrmMentor[1. Was the session agenda relevant to the startup’s current stage and specific needs?],'NPS Calculation'!E3)</f>
        <v>1</v>
      </c>
    </row>
    <row r="4" spans="1:6" x14ac:dyDescent="0.3">
      <c r="A4" s="69" t="s">
        <v>107</v>
      </c>
      <c r="B4" s="70">
        <f>COUNTIFS(FeedbackTracker[How useful was this mentor session for your current business priorities?],'NPS Calculation'!A4,FeedbackTracker[Response Category],"&lt;&gt;Duplicate")</f>
        <v>7</v>
      </c>
      <c r="E4" s="69" t="s">
        <v>443</v>
      </c>
      <c r="F4" s="70">
        <f>COUNTIFS(FeedbackFrmMentor[1. Was the session agenda relevant to the startup’s current stage and specific needs?],'NPS Calculation'!E4)</f>
        <v>0</v>
      </c>
    </row>
    <row r="5" spans="1:6" x14ac:dyDescent="0.3">
      <c r="A5" s="69" t="s">
        <v>42</v>
      </c>
      <c r="B5" s="70">
        <f>COUNTIFS(FeedbackTracker[How useful was this mentor session for your current business priorities?],'NPS Calculation'!A5,FeedbackTracker[Response Category],"&lt;&gt;Duplicate")</f>
        <v>21</v>
      </c>
      <c r="E5" s="69" t="s">
        <v>352</v>
      </c>
      <c r="F5" s="70">
        <f>COUNTIFS(FeedbackFrmMentor[1. Was the session agenda relevant to the startup’s current stage and specific needs?],'NPS Calculation'!E5)</f>
        <v>5</v>
      </c>
    </row>
    <row r="6" spans="1:6" x14ac:dyDescent="0.3">
      <c r="A6" s="69" t="s">
        <v>24</v>
      </c>
      <c r="B6" s="70">
        <f>COUNTIFS(FeedbackTracker[How useful was this mentor session for your current business priorities?],'NPS Calculation'!A6,FeedbackTracker[Response Category],"&lt;&gt;Duplicate")</f>
        <v>54</v>
      </c>
      <c r="E6" s="69" t="s">
        <v>396</v>
      </c>
      <c r="F6" s="70">
        <f>COUNTIFS(FeedbackFrmMentor[1. Was the session agenda relevant to the startup’s current stage and specific needs?],'NPS Calculation'!E6)</f>
        <v>6</v>
      </c>
    </row>
    <row r="7" spans="1:6" x14ac:dyDescent="0.3">
      <c r="A7" s="69" t="s">
        <v>57</v>
      </c>
      <c r="B7" s="70">
        <f>COUNTIFS(FeedbackTracker[How useful was this mentor session for your current business priorities?],'NPS Calculation'!A7,FeedbackTracker[Response Category],"&lt;&gt;Duplicate")</f>
        <v>22</v>
      </c>
      <c r="E7" s="69" t="s">
        <v>364</v>
      </c>
      <c r="F7" s="70">
        <f>COUNTIFS(FeedbackFrmMentor[1. Was the session agenda relevant to the startup’s current stage and specific needs?],'NPS Calculation'!E7)</f>
        <v>19</v>
      </c>
    </row>
    <row r="8" spans="1:6" ht="15" thickBot="1" x14ac:dyDescent="0.35">
      <c r="A8" s="71" t="s">
        <v>444</v>
      </c>
      <c r="B8" s="72">
        <f>SUM(B3:B7)</f>
        <v>106</v>
      </c>
      <c r="E8" s="71" t="s">
        <v>444</v>
      </c>
      <c r="F8" s="72">
        <f>SUM(F3:F7)</f>
        <v>31</v>
      </c>
    </row>
    <row r="9" spans="1:6" ht="15" thickBot="1" x14ac:dyDescent="0.35"/>
    <row r="10" spans="1:6" x14ac:dyDescent="0.3">
      <c r="A10" s="73" t="s">
        <v>445</v>
      </c>
      <c r="B10" s="68">
        <f>B6+B7</f>
        <v>76</v>
      </c>
      <c r="E10" s="73" t="s">
        <v>445</v>
      </c>
      <c r="F10" s="68">
        <f>F6+F7</f>
        <v>25</v>
      </c>
    </row>
    <row r="11" spans="1:6" x14ac:dyDescent="0.3">
      <c r="A11" s="77" t="s">
        <v>446</v>
      </c>
      <c r="B11" s="70">
        <f>B5+B4</f>
        <v>28</v>
      </c>
      <c r="E11" s="77" t="s">
        <v>446</v>
      </c>
      <c r="F11" s="70">
        <f>F5+F4</f>
        <v>5</v>
      </c>
    </row>
    <row r="12" spans="1:6" ht="15" thickBot="1" x14ac:dyDescent="0.35">
      <c r="A12" s="71" t="s">
        <v>447</v>
      </c>
      <c r="B12" s="76">
        <f>B3</f>
        <v>2</v>
      </c>
      <c r="E12" s="71" t="s">
        <v>447</v>
      </c>
      <c r="F12" s="76">
        <f>F3</f>
        <v>1</v>
      </c>
    </row>
    <row r="13" spans="1:6" ht="15" thickBot="1" x14ac:dyDescent="0.35"/>
    <row r="14" spans="1:6" ht="15" thickBot="1" x14ac:dyDescent="0.35">
      <c r="A14" s="74" t="s">
        <v>448</v>
      </c>
      <c r="B14" s="78">
        <f>((B10-B12)/B8)*100</f>
        <v>69.811320754716974</v>
      </c>
      <c r="E14" s="74" t="s">
        <v>448</v>
      </c>
      <c r="F14" s="78">
        <f>((F10-F12)/F8)*100</f>
        <v>77.41935483870968</v>
      </c>
    </row>
    <row r="15" spans="1:6" x14ac:dyDescent="0.3">
      <c r="B15" s="66"/>
    </row>
    <row r="17" spans="1:3" ht="15" thickBot="1" x14ac:dyDescent="0.35">
      <c r="B17" s="67"/>
    </row>
    <row r="18" spans="1:3" x14ac:dyDescent="0.3">
      <c r="A18" s="73" t="s">
        <v>445</v>
      </c>
      <c r="B18" s="68">
        <v>46</v>
      </c>
      <c r="C18">
        <v>78</v>
      </c>
    </row>
    <row r="19" spans="1:3" x14ac:dyDescent="0.3">
      <c r="A19" s="77" t="s">
        <v>446</v>
      </c>
      <c r="B19" s="70">
        <v>37</v>
      </c>
      <c r="C19">
        <v>11</v>
      </c>
    </row>
    <row r="20" spans="1:3" ht="15" thickBot="1" x14ac:dyDescent="0.35">
      <c r="A20" s="71" t="s">
        <v>447</v>
      </c>
      <c r="B20" s="76">
        <v>14</v>
      </c>
      <c r="C20">
        <v>8</v>
      </c>
    </row>
    <row r="21" spans="1:3" ht="15" thickBot="1" x14ac:dyDescent="0.35"/>
    <row r="22" spans="1:3" ht="15" thickBot="1" x14ac:dyDescent="0.35">
      <c r="A22" s="74" t="s">
        <v>448</v>
      </c>
      <c r="B22" s="78">
        <f>((B18-B20)/SUM(B18:B20))*100</f>
        <v>32.989690721649481</v>
      </c>
      <c r="C22" s="78">
        <f>((C18-C20)/SUM(C18:C20))*100</f>
        <v>72.164948453608247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E65B7A8-BC93-44CF-93F8-2F03C0B43D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Session Feedback</vt:lpstr>
      <vt:lpstr>DUPLICATES</vt:lpstr>
      <vt:lpstr>SESSION FEEDBACK PIVOT TABLE</vt:lpstr>
      <vt:lpstr>Quality Dashboard</vt:lpstr>
      <vt:lpstr>Feedback from Mentor</vt:lpstr>
      <vt:lpstr>Feedback from Mentor Pivot </vt:lpstr>
      <vt:lpstr>NPS Calculation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Meenakshi Singh</cp:lastModifiedBy>
  <cp:revision>0</cp:revision>
  <dcterms:created xsi:type="dcterms:W3CDTF">2026-04-14T14:38:57Z</dcterms:created>
  <dcterms:modified xsi:type="dcterms:W3CDTF">2026-05-22T05:00:46Z</dcterms:modified>
  <cp:category/>
  <cp:contentStatus/>
</cp:coreProperties>
</file>