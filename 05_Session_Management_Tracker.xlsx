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adhwanifoundation-my.sharepoint.com/personal/meenakshi_singh_wadhwanifoundation_org/Documents/04. Advisors/2026/Accelerate Core-Select Assets/"/>
    </mc:Choice>
  </mc:AlternateContent>
  <xr:revisionPtr revIDLastSave="114" documentId="120_S{EEA7481E-A2AD-554C-AE4A-F6DBFB2FE90F}" xr6:coauthVersionLast="47" xr6:coauthVersionMax="47" xr10:uidLastSave="{2F767CC6-9331-428D-B4CA-0E3A05343CA6}"/>
  <bookViews>
    <workbookView xWindow="-108" yWindow="-108" windowWidth="23256" windowHeight="12456" tabRatio="500" firstSheet="1" activeTab="1" xr2:uid="{00000000-000D-0000-FFFF-FFFF00000000}"/>
  </bookViews>
  <sheets>
    <sheet name="Sheet2" sheetId="4" r:id="rId1"/>
    <sheet name="Session Tracker" sheetId="1" r:id="rId2"/>
    <sheet name="Invoice Status" sheetId="2" r:id="rId3"/>
    <sheet name="Sheet1" sheetId="3" r:id="rId4"/>
  </sheets>
  <definedNames>
    <definedName name="_xlnm._FilterDatabase" localSheetId="1" hidden="1">'Session Tracker'!$B$1:$AB$125</definedName>
    <definedName name="_xlcn.WorksheetConnection_05_Session_Management_Tracker.xlsxTable11" hidden="1">SessionTracker[]</definedName>
  </definedNames>
  <calcPr calcId="191029"/>
  <pivotCaches>
    <pivotCache cacheId="3"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05_Session_Management_Tracker.xlsx!Table1"/>
        </x15:modelTables>
        <x15:extLst>
          <ext xmlns:x16="http://schemas.microsoft.com/office/spreadsheetml/2014/11/main" uri="{9835A34E-60A6-4A7C-AAB8-D5F71C897F49}">
            <x16:modelTimeGroupings>
              <x16:modelTimeGrouping tableName="Table1" columnName="Meeting Date (Week)" columnId="Meeting Date (Week)">
                <x16:calculatedTimeColumn columnName="Meeting Date (Week) (Year)" columnId="Meeting Date (Week) (Year)" contentType="years" isSelected="1"/>
                <x16:calculatedTimeColumn columnName="Meeting Date (Week) (Quarter)" columnId="Meeting Date (Week) (Quarter)" contentType="quarters" isSelected="0"/>
                <x16:calculatedTimeColumn columnName="Meeting Date (Week) (Month Index)" columnId="Meeting Date (Week) (Month Index)" contentType="monthsindex" isSelected="1"/>
                <x16:calculatedTimeColumn columnName="Meeting Date (Week) (Month)" columnId="Meeting Date (Week) (Month)" contentType="months" isSelected="1"/>
              </x16:modelTimeGrouping>
              <x16:modelTimeGrouping tableName="Table1" columnName="Preferred Mentor Selected On" columnId="Preferred Mentor Selected On">
                <x16:calculatedTimeColumn columnName="Preferred Mentor Selected On (Year)" columnId="Preferred Mentor Selected On (Year)" contentType="years" isSelected="1"/>
                <x16:calculatedTimeColumn columnName="Preferred Mentor Selected On (Month Index)" columnId="Preferred Mentor Selected On (Month Index)" contentType="monthsindex" isSelected="1"/>
                <x16:calculatedTimeColumn columnName="Preferred Mentor Selected On (Month)" columnId="Preferred Mentor Selected O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H124" i="1" l="1"/>
  <c r="AI124"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2"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3B6064-9B27-4328-9346-2802FADD0E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967D60-14F7-4F5A-997C-608A6324E58C}" name="WorksheetConnection_05_Session_Management_Tracker.xlsx!Table1" type="102" refreshedVersion="8" minRefreshableVersion="5">
    <extLst>
      <ext xmlns:x15="http://schemas.microsoft.com/office/spreadsheetml/2010/11/main" uri="{DE250136-89BD-433C-8126-D09CA5730AF9}">
        <x15:connection id="Table1" autoDelete="1">
          <x15:rangePr sourceName="_xlcn.WorksheetConnection_05_Session_Management_Tracker.xlsxTable11"/>
        </x15:connection>
      </ext>
    </extLst>
  </connection>
</connections>
</file>

<file path=xl/sharedStrings.xml><?xml version="1.0" encoding="utf-8"?>
<sst xmlns="http://schemas.openxmlformats.org/spreadsheetml/2006/main" count="1826" uniqueCount="722">
  <si>
    <t>Row Labels</t>
  </si>
  <si>
    <t>Count of Venture Name</t>
  </si>
  <si>
    <t>Grand Total</t>
  </si>
  <si>
    <t>Meeting ID</t>
  </si>
  <si>
    <t>Venture Name</t>
  </si>
  <si>
    <t>Hub</t>
  </si>
  <si>
    <t>Program Tier</t>
  </si>
  <si>
    <t>Mentor Name</t>
  </si>
  <si>
    <t>Ask</t>
  </si>
  <si>
    <t>Session Type</t>
  </si>
  <si>
    <t>Requested for Mentors On</t>
  </si>
  <si>
    <t>Shortlisted Mentors On</t>
  </si>
  <si>
    <t>Suggested Mentors On</t>
  </si>
  <si>
    <t>Preferred Mentor Selected On</t>
  </si>
  <si>
    <t>Meeting Date</t>
  </si>
  <si>
    <t>Scheduled Time</t>
  </si>
  <si>
    <t>Duration (min)</t>
  </si>
  <si>
    <t>Session Status</t>
  </si>
  <si>
    <t>Meeting Summary</t>
  </si>
  <si>
    <t>Next Steps / Action Items</t>
  </si>
  <si>
    <t>Mentor Brief</t>
  </si>
  <si>
    <t>Recording</t>
  </si>
  <si>
    <t>Transcript</t>
  </si>
  <si>
    <t>Follow-Up Required?</t>
  </si>
  <si>
    <t>Follow-Up Owner</t>
  </si>
  <si>
    <t>Follow-Up Date</t>
  </si>
  <si>
    <t>Follow-Up Status</t>
  </si>
  <si>
    <t>Feedback Rating (1-5)</t>
  </si>
  <si>
    <t>Feedback Comments</t>
  </si>
  <si>
    <t>Escalations</t>
  </si>
  <si>
    <t>RN Team Member</t>
  </si>
  <si>
    <t>Connected by US</t>
  </si>
  <si>
    <t>Session Paid or Probono</t>
  </si>
  <si>
    <t>Feedback ID</t>
  </si>
  <si>
    <t>Feedback reachout Status</t>
  </si>
  <si>
    <t>Feedback Reachout Remarks</t>
  </si>
  <si>
    <t>Preferred Mentor Selected On (Week)</t>
  </si>
  <si>
    <t>Meeting Date (Week)</t>
  </si>
  <si>
    <t>A1</t>
  </si>
  <si>
    <t>VideoSDK</t>
  </si>
  <si>
    <t>Ahmedabad</t>
  </si>
  <si>
    <t>Accelerate Core</t>
  </si>
  <si>
    <t>Dr. Sudin Baraokar</t>
  </si>
  <si>
    <t>Sprint Connect</t>
  </si>
  <si>
    <t>Completed</t>
  </si>
  <si>
    <t xml:space="preserve">The session focused on Just Act, a legal-tech startup offering online dispute resolution, which is now aiming to build and scale a global product (Just Act Plus) with advanced features. The team’s main challenge was around R&amp;D, market entry, and finding the right users and networks for product validation. The expert advised prioritizing test market validation by starting with existing customers, running surveys, and gathering feedback before scaling, along with conducting competitor analysis and launching beta tests with a larger user base (500–1000 users) to generate meaningful insights. Key gaps identified included weak lead generation and outbound sales processes, limited data for decision-making, and the need for a more data-driven and techno-functional product approach. Overall, the discussion emphasized validating product-market fit, strengthening feedback loops, and building structured sales and R&amp;D processes before expanding globally. </t>
  </si>
  <si>
    <t>Link</t>
  </si>
  <si>
    <t>Not Found</t>
  </si>
  <si>
    <t>Vaibhav</t>
  </si>
  <si>
    <t>Yes</t>
  </si>
  <si>
    <t>Probono</t>
  </si>
  <si>
    <t>Filled Feedback Form</t>
  </si>
  <si>
    <t>17-Dec-2025: Follow-up with mentor on WhatsApp
16-Dec-2025: Reached out to Founder. Couldn’t connect. Shared Form</t>
  </si>
  <si>
    <t>A2</t>
  </si>
  <si>
    <t>Siddharth Pandey</t>
  </si>
  <si>
    <t>https://wadhwanifoundation-my.sharepoint.com/:v:/g/personal/accelerate_wadhwanifoundation_org/IQAgRScEtU5CSqp5_xl-86CZATYk-aLQuQK2DT4BV6_-R-k?e=ffE8Bd&amp;nav=eyJyZWZlcnJhbEluZm8iOnsicmVmZXJyYWxBcHAiOiJTdHJlYW1XZWJBcHAiLCJyZWZlcnJhbFZpZXciOiJTaGFyZURpYWxvZy1MaW5rIiwicmVmZXJyYWxBcHBQbGF0Zm9ybSI6IldlYiIsInJlZmVycmFsTW9kZSI6InZpZXcifX0%3D</t>
  </si>
  <si>
    <t>https://wadhwanifoundation-my.sharepoint.com/:w:/g/personal/vaibhav_mattas_wadhwanifoundation_org/IQCWIk9nRFWTRZsdfAkC6Xm0ARhvPxIHhVXK_52OmpMAgLI?e=uWYb8u</t>
  </si>
  <si>
    <t>23-Dec-2025: Will fill the feedback form shortly</t>
  </si>
  <si>
    <t>A3</t>
  </si>
  <si>
    <t>Mithun Kumar Mahendra</t>
  </si>
  <si>
    <t>No</t>
  </si>
  <si>
    <t>28-Jan-2026: FIlled the form
28-Jan-2026: Will call me back shortly
21-Jan-2025: Will fill by EOD</t>
  </si>
  <si>
    <t>A4</t>
  </si>
  <si>
    <t>PowerTree</t>
  </si>
  <si>
    <t>Pune
Ahmedabad</t>
  </si>
  <si>
    <t>Satya kiran Gannarapu</t>
  </si>
  <si>
    <t>28-Jan-2026: Will call shortly
22-Jan-2026: Rejected the call
21-Jan-2025: Will fill by EOD</t>
  </si>
  <si>
    <t>A5</t>
  </si>
  <si>
    <t>Sriram Chidambaram</t>
  </si>
  <si>
    <t>A6</t>
  </si>
  <si>
    <t>Nayaz JU Launchpad</t>
  </si>
  <si>
    <t>A8</t>
  </si>
  <si>
    <t>Eventbeep</t>
  </si>
  <si>
    <t>Pune</t>
  </si>
  <si>
    <t>Accelerate Prime</t>
  </si>
  <si>
    <t>Ashish Mittal</t>
  </si>
  <si>
    <t>https://wadhwanifoundation-my.sharepoint.com/personal/accelerate_wadhwanifoundation_org/_layouts/15/viewer.aspx?sourcedoc={0f545bad-82a8-4323-a27c-b9813c23ce30}</t>
  </si>
  <si>
    <t>https://wadhwanifoundation-my.sharepoint.com/:w:/g/personal/vaibhav_mattas_wadhwanifoundation_org/IQDDFveok_7IQrg7QsPNM6yFAWYXmXrP51GcnjBhZbaO-RM?e=8hSxvt</t>
  </si>
  <si>
    <t>18-Dec-2025: Called twice but Rakhi didn't answered the call
17-Dec-2025: Follow-up with mentor on WhatsApp
16-Dec-2025: Reached out to Founder. Spoke to Sourabh and he said Rakhi will be the right person. Called Rakhi also but call couldn’t be connected hence Shared Form. Mentor confirmed she will fill today</t>
  </si>
  <si>
    <t>A10</t>
  </si>
  <si>
    <t>NG Earsafe</t>
  </si>
  <si>
    <t>Prem Sanjay Vuthandam</t>
  </si>
  <si>
    <t>A11</t>
  </si>
  <si>
    <t>Raptee Energy Pvt Ltd</t>
  </si>
  <si>
    <t>Chennai</t>
  </si>
  <si>
    <t>Gokulraj GK</t>
  </si>
  <si>
    <t>https://wadhwanifoundation-my.sharepoint.com/:w:/g/personal/vaibhav_mattas_wadhwanifoundation_org/IQCihmMB3sooTImQRBWB6RsWASfcO9YKSRk7bWFeajKgJpI?e=nU9Inh</t>
  </si>
  <si>
    <t>Ask not found</t>
  </si>
  <si>
    <t>https://wadhwanifoundation-my.sharepoint.com/:v:/g/personal/accelerate_wadhwanifoundation_org/IQBnJ02Wdk34QZTYmeFz71MeAdG50NNO17QLD4OI7OrOBZY?e=cLvKYo&amp;nav=eyJyZWZlcnJhbEluZm8iOnsicmVmZXJyYWxBcHAiOiJTdHJlYW1XZWJBcHAiLCJyZWZlcnJhbFZpZXciOiJTaGFyZURpYWxvZy1MaW5rIiwicmVmZXJyYWxBcHBQbGF0Zm9ybSI6IldlYiIsInJlZmVycmFsTW9kZSI6InZpZXcifX0%3D</t>
  </si>
  <si>
    <t>https://wadhwanifoundation-my.sharepoint.com/:w:/g/personal/vaibhav_mattas_wadhwanifoundation_org/IQA8q0a2umRXSYtHH65dCslMAZFmW7F0ieIBcZsgNZsoZ8w?e=Wyxati</t>
  </si>
  <si>
    <t>Paid</t>
  </si>
  <si>
    <t>08-jan-2025: Will fill  by EOD</t>
  </si>
  <si>
    <t>A13</t>
  </si>
  <si>
    <t>Manu Kumar</t>
  </si>
  <si>
    <t>A14</t>
  </si>
  <si>
    <t>Arnab Chatterjee</t>
  </si>
  <si>
    <t>A15</t>
  </si>
  <si>
    <t>Startoon Labs</t>
  </si>
  <si>
    <t>Hyderabad</t>
  </si>
  <si>
    <t>Dheeresh Manrai</t>
  </si>
  <si>
    <t>17-Dec-2025: Follow-up with mentor on WhatsApp
16-Dec-2025: Reached out to Founder. Spoke to founder and Shared Form</t>
  </si>
  <si>
    <t>A18</t>
  </si>
  <si>
    <t>JidokaTechnologies</t>
  </si>
  <si>
    <t>Ramkumar Subramaniam</t>
  </si>
  <si>
    <t>https://wadhwanifoundation-my.sharepoint.com/personal/accelerate_wadhwanifoundation_org/_layouts/15/viewer.aspx?sourcedoc={8d54e21b-3fd6-471c-992a-fa8590cad50f}</t>
  </si>
  <si>
    <t>https://wadhwanifoundation-my.sharepoint.com/:w:/g/personal/vaibhav_mattas_wadhwanifoundation_org/IQCNSHuVQxqXQ4ib9CjJDUiVAdzp8ovnzI2B3Hlui60IlDw?e=xJJ3gH</t>
  </si>
  <si>
    <t>A21</t>
  </si>
  <si>
    <t xml:space="preserve">Cultyvate- Farms2Fork Technologies Pvt Ltd </t>
  </si>
  <si>
    <t>B Gopalakrishnan</t>
  </si>
  <si>
    <t>16-Dec-2025: Agritrenuer Market. They need to setup a system where their team can use to input their interactions in the field. So that they don’t have to follow with team. Team should come back and say that System is not working. They need mentor with that kind of experience.</t>
  </si>
  <si>
    <t>A22</t>
  </si>
  <si>
    <t>Kalmesh Joshi</t>
  </si>
  <si>
    <t>https://wadhwanifoundation-my.sharepoint.com/:v:/g/personal/accelerate_wadhwanifoundation_org/IQChvsnKDxNgQKbZXPPUhmxuATp3mI22rNkUKVwkvvJ42ro?e=g7vYRC</t>
  </si>
  <si>
    <t>https://wadhwanifoundation-my.sharepoint.com/:w:/g/personal/vaibhav_mattas_wadhwanifoundation_org/IQDA2xaLk3HbSJ9qMZ-RMyIHAeWuXmXe2B6NkjV21kYyAbc?e=4I4wL2</t>
  </si>
  <si>
    <t>16-Dec-2025: Reached out to Founder. Couldn’t connect. Shared Form</t>
  </si>
  <si>
    <t>A24</t>
  </si>
  <si>
    <t>Jeevtronics</t>
  </si>
  <si>
    <t>Crispino Santamaria</t>
  </si>
  <si>
    <t>https://wadhwanifoundation-my.sharepoint.com/personal/accelerate_wadhwanifoundation_org/_layouts/15/viewer.aspx?sourcedoc={26feda53-e923-4202-bf0b-9fcf29c0f05f}</t>
  </si>
  <si>
    <t>https://wadhwanifoundation-my.sharepoint.com/:w:/g/personal/vaibhav_mattas_wadhwanifoundation_org/IQA21axCT4BuT53ZRJBq7fIQAULqLeSuayjGupRVbkTq2gU?e=dH00dN</t>
  </si>
  <si>
    <t>17-Dec-2025: Follow-up with mentor on WhatsApp</t>
  </si>
  <si>
    <t>A25</t>
  </si>
  <si>
    <t>A26</t>
  </si>
  <si>
    <t>A27</t>
  </si>
  <si>
    <t>Urdhvam</t>
  </si>
  <si>
    <t>Krishna Dorai</t>
  </si>
  <si>
    <t>A30</t>
  </si>
  <si>
    <t>Bipolar Factory</t>
  </si>
  <si>
    <t xml:space="preserve">Need support in building a realistic 24-month financial roadmap for Bipolar Factory, including budgeting, pricing strategy, unit economics, cash flow planning, and investor readiness aligned with scalable growth.
</t>
  </si>
  <si>
    <t>Mentee Action Items - Bipolar Factory (Sriram).docx</t>
  </si>
  <si>
    <t>https://wadhwanifoundation-my.sharepoint.com/:w:/g/personal/vaibhav_mattas_wadhwanifoundation_org/IQCNVx5f3hcLT4xUssxX3QbGAQYXzCaZ9o2vFuDvZgIjDqY?e=9UCHMc</t>
  </si>
  <si>
    <t>https://wadhwanifoundation-my.sharepoint.com/:v:/g/personal/accelerate_wadhwanifoundation_org/IQDLw4OGyNXHRZMvK0PFQ0u-AciHevDngg3mnYEcMlCzzwc?e=wnqqHN&amp;nav=eyJyZWZlcnJhbEluZm8iOnsicmVmZXJyYWxBcHAiOiJTdHJlYW1XZWJBcHAiLCJyZWZlcnJhbFZpZXciOiJTaGFyZURpYWxvZy1MaW5rIiwicmVmZXJyYWxBcHBQbGF0Zm9ybSI6IldlYiIsInJlZmVycmFsTW9kZSI6InZpZXcifX0%3D</t>
  </si>
  <si>
    <t>https://wadhwanifoundation-my.sharepoint.com/:w:/g/personal/vaibhav_mattas_wadhwanifoundation_org/IQCnxR8g4IfHTqFSx0yVnPn7AVQQCm1eqqNKhxR4y9DS2x0?e=ZAhRgE</t>
  </si>
  <si>
    <t>A32</t>
  </si>
  <si>
    <t>16-Dec-2025: Reached out to Founder. Form Filled</t>
  </si>
  <si>
    <t>A33</t>
  </si>
  <si>
    <t>Linkmiles</t>
  </si>
  <si>
    <t>Vinay Goel</t>
  </si>
  <si>
    <t>A38</t>
  </si>
  <si>
    <t>Mangopoint</t>
  </si>
  <si>
    <t>Raj Gulia</t>
  </si>
  <si>
    <t>https://wadhwanifoundation-my.sharepoint.com/personal/accelerate_wadhwanifoundation_org/_layouts/15/viewer.aspx?sourcedoc={c7e3883f-b4ed-42c1-b2f5-2e800b7954de}</t>
  </si>
  <si>
    <t>https://wadhwanifoundation-my.sharepoint.com/:w:/g/personal/vaibhav_mattas_wadhwanifoundation_org/IQAFiuBZ0s2CQ4NRvWc3J6ouAezgtNbSdGSCU7JC69cyidk?e=We71lS</t>
  </si>
  <si>
    <t>22-Dec-2025: Called again but he told will do it today
18-Dec-2025: Will do it by EOD
17-Dec-2025: Follow-up with mentor on WhatsApp
16-Dec-2025: Reached out to Founder. Couldn’t connect. Shared Form</t>
  </si>
  <si>
    <t>A40</t>
  </si>
  <si>
    <t>Culture x</t>
  </si>
  <si>
    <t>Vignesh Narayanan</t>
  </si>
  <si>
    <t>22-Dec-2025: Called twice still no reply
19-Dec-2025: Called again still no reply
18-Dec-2025: Called twice but Akshat didn't answered the call
17-Dec-2025: Follow-up with mentor on WhatsApp
16-Dec-2025: Reached out to Founder. Spoke to founder's office and Shared Form</t>
  </si>
  <si>
    <t>A41</t>
  </si>
  <si>
    <t>JustAct</t>
  </si>
  <si>
    <t>Jignesh Jain</t>
  </si>
  <si>
    <t>Product Management Expertise + Enterprise Sales &amp; Client Expansion</t>
  </si>
  <si>
    <t>Mentee Action Items- JustAct (16 Feb 2026)</t>
  </si>
  <si>
    <t>Mentor Brief - Just Act (Jignesh Jain).docx</t>
  </si>
  <si>
    <t>https://wadhwanifoundation-my.sharepoint.com/:v:/g/personal/accelerate_wadhwanifoundation_org/IQALx_9vnBb0S6kcl58comOcAYw22_VXekVfCiG5k7UcXKE?e=D7LE3b&amp;nav=eyJyZWZlcnJhbEluZm8iOnsicmVmZXJyYWxBcHAiOiJTdHJlYW1XZWJBcHAiLCJyZWZlcnJhbFZpZXciOiJTaGFyZURpYWxvZy1MaW5rIiwicmVmZXJyYWxBcHBQbGF0Zm9ybSI6IldlYiIsInJlZmVycmFsTW9kZSI6InZpZXcifX0%3D</t>
  </si>
  <si>
    <t>https://wadhwanifoundation-my.sharepoint.com/:w:/g/personal/vaibhav_mattas_wadhwanifoundation_org/IQBYnPLfDgFwSLBLCK_gBiVVAct0v6UqaHEZ_PyNrE-vdvc?e=3z6EXq</t>
  </si>
  <si>
    <t>Sent Feedback Form: Founder not Responding</t>
  </si>
  <si>
    <t>18-Mar-2026: Founder not replying, conveyed this HM. ALso asked HM to get this done.
16-Mar-2026: Venture not answering the calls
10-Mar-2026: Will ask his Product manager to fill by today
18-Feb-2026: Will ask the Co-Founder to fill by tommorow
17-Feb-2026: Sent the feedback</t>
  </si>
  <si>
    <t>A42</t>
  </si>
  <si>
    <t>Manufyx</t>
  </si>
  <si>
    <t>Sanjay Sharma</t>
  </si>
  <si>
    <t>https://wadhwanifoundation-my.sharepoint.com/personal/accelerate_wadhwanifoundation_org/_layouts/15/viewer.aspx?sourcedoc={a87c489b-bb27-43f9-aec7-45eabe5a8804}</t>
  </si>
  <si>
    <t>https://wadhwanifoundation-my.sharepoint.com/:w:/g/personal/vaibhav_mattas_wadhwanifoundation_org/IQCSNidf6nk-RrCyNURYxD5gAWu9_f86W-HjRKuHLTqEkJU?e=R72fNJ</t>
  </si>
  <si>
    <t>A44</t>
  </si>
  <si>
    <t>Jayen Kotecha</t>
  </si>
  <si>
    <t>Vendor &amp; Quality Process Strengthening – Support in standardizing vendor audits, quality check frameworks, and long-term vendor development partnerships to ensure timely, reliable project execution.</t>
  </si>
  <si>
    <t>https://wadhwanifoundation-my.sharepoint.com/:w:/g/personal/vaibhav_mattas_wadhwanifoundation_org/IQCVGBA4uVgsRqMonMkCFJZMAbS2pkvgPv6OqjSxBW7yVvM?e=3VyWSo</t>
  </si>
  <si>
    <t>https://wadhwanifoundation-my.sharepoint.com/:w:/g/personal/vaibhav_mattas_wadhwanifoundation_org/IQBST_60ssnrRYB-lFy3lSjiAY4Jcdmh7_N9HdlvJb4LVXE?e=3t8aog</t>
  </si>
  <si>
    <t>https://wadhwanifoundation-my.sharepoint.com/:v:/g/personal/accelerate_wadhwanifoundation_org/IQCdolpaxkDIRK6oGj4qgsaVAcgCuXKy2BIf5Mf-J9ZIMKU?e=v2sRrH&amp;nav=eyJyZWZlcnJhbEluZm8iOnsicmVmZXJyYWxBcHAiOiJTdHJlYW1XZWJBcHAiLCJyZWZlcnJhbFZpZXciOiJTaGFyZURpYWxvZy1MaW5rIiwicmVmZXJyYWxBcHBQbGF0Zm9ybSI6IldlYiIsInJlZmVycmFsTW9kZSI6InZpZXcifX0%3D</t>
  </si>
  <si>
    <t>https://wadhwanifoundation-my.sharepoint.com/personal/vaibhav_mattas_wadhwanifoundation_org/_layouts/15/Doc.aspx?sourcedoc=%7BE7991494-6037-4784-9CB0-1BAD523742E5%7D&amp;file=Expert%20Connect%202%20_%20Manufyx%20x%20Wadhwani%20Accelerate.docx&amp;action=default&amp;mobileredirect=true&amp;DefaultItemOpen=1</t>
  </si>
  <si>
    <t>21-Jan-2025: Called twice but not replied</t>
  </si>
  <si>
    <t>A45</t>
  </si>
  <si>
    <t xml:space="preserve">Market &amp; Brand Visibility – Help in building a strong digital presence (website, LinkedIn, professional branding) and positioning to gain trust with large EPCs and global clients.
</t>
  </si>
  <si>
    <t>https://wadhwanifoundation-my.sharepoint.com/:w:/g/personal/vaibhav_mattas_wadhwanifoundation_org/IQCQCK29nPsGQ4LcoJ_8mMOjAVt-Qenplv1_McAE76rgsYw?e=L458oG</t>
  </si>
  <si>
    <t>Mentor Brief - Manufyx (Manu Kumar).docx</t>
  </si>
  <si>
    <t xml:space="preserve"> https://wadhwanifoundation-my.sharepoint.com/personal/vaibhav_mattas_wadhwanifoundation_org/_layouts/15/Doc.aspx?sourcedoc=%7BE7991494-6037-4784-9CB0-1BAD523742E5%7D&amp;file=Expert%20Connect%202%20_%20Manufyx%20x%20Wadhwani%20Accelerate.docx&amp;action=default&amp;mobileredirect=true&amp;DefaultItemOpen=1</t>
  </si>
  <si>
    <t>https://wadhwanifoundation-my.sharepoint.com/personal/vaibhav_mattas_wadhwanifoundation_org/_layouts/15/Doc.aspx?sourcedoc=%7BAAE36574-79A5-4554-8AE7-FDDAC4D4B0F8%7D&amp;file=Expert%20Connect%203%20_%20Manufyx%20x%20Wadhwani%20Accelerate.docx&amp;action=default&amp;mobileredirect=true&amp;DefaultItemOpen=1</t>
  </si>
  <si>
    <t>05-Feb-2026: Shared the feedback</t>
  </si>
  <si>
    <t>A47</t>
  </si>
  <si>
    <t>FTB Organic (Dhombe Patil Foods)</t>
  </si>
  <si>
    <t>Filled the form</t>
  </si>
  <si>
    <t>A48</t>
  </si>
  <si>
    <t>https://wadhwanifoundation-my.sharepoint.com/personal/accelerate_wadhwanifoundation_org/_layouts/15/viewer.aspx?sourcedoc={3de73eda-d209-4375-bd3a-897dae98edda}</t>
  </si>
  <si>
    <t>https://wadhwanifoundation-my.sharepoint.com/:w:/g/personal/vaibhav_mattas_wadhwanifoundation_org/IQDZZrCN9AEYR4t_Dm_aR6x-ASh2HhdYaKwRUWoTGR9aVUo?e=SNN3Kp</t>
  </si>
  <si>
    <t>23-Dec-2025: Called thrice but not answered the calls</t>
  </si>
  <si>
    <t>A51</t>
  </si>
  <si>
    <t>Stem Tech</t>
  </si>
  <si>
    <t>17-Dec-2025: Follow-up with mentor on WhatsApp
16-Dec-2025: Reached out to Founder. He asked to share feedback form as meeting was handled by someone else from his team and he will get the form filled.</t>
  </si>
  <si>
    <t>A54</t>
  </si>
  <si>
    <t>Vaultastic</t>
  </si>
  <si>
    <t>Anant Sood</t>
  </si>
  <si>
    <t>Enterprise SaaS GTM leaders with experience scaling into BFSI and compliance-heavy sectors.</t>
  </si>
  <si>
    <t>Mentee Action Items - Vaultastic (Anant Sood)(Anant Sood)</t>
  </si>
  <si>
    <t>Mentor Brief - Vaultastic (Anant Sood)</t>
  </si>
  <si>
    <t>https://wadhwanifoundation-my.sharepoint.com/personal/accelerate_wadhwanifoundation_org/_layouts/15/viewer.aspx?sourcedoc={b8b26d70-2807-4a8b-911d-509d696602e9}</t>
  </si>
  <si>
    <t>https://wadhwanifoundation-my.sharepoint.com/personal/vaibhav_mattas_wadhwanifoundation_org/_layouts/15/Doc.aspx?sourcedoc=%7B227132A5-D4B9-497B-8730-C28423B9A0FC%7D&amp;file=Expert%20Connect%201%20_%20Vaultastic%20x%20Wadhwani%20Accelerate.docx&amp;action=default&amp;mobileredirect=true&amp;DefaultItemOpen=1</t>
  </si>
  <si>
    <t>A58</t>
  </si>
  <si>
    <t>Kumaresh Tirukonda</t>
  </si>
  <si>
    <t>Market Expansion – Experts on Middle East GTM strategy to build reference clients and create a phased path to the US.</t>
  </si>
  <si>
    <t>Mentor Brief - Vaultastic (Anant Sood).docx</t>
  </si>
  <si>
    <t>https://wadhwanifoundation-my.sharepoint.com/personal/accelerate_wadhwanifoundation_org/_layouts/15/viewer.aspx?sourcedoc={99091af8-9c8d-4eba-9a59-653183f95dbe}</t>
  </si>
  <si>
    <t>https://wadhwanifoundation-my.sharepoint.com/personal/vaibhav_mattas_wadhwanifoundation_org/_layouts/15/Doc.aspx?sourcedoc=%7B275C080B-6C9B-4711-8130-6C4FD072F70C%7D&amp;file=Expert%20Connect%202%20_%20Vaultastic%20x%20Wadhwani%20Accelerate.docx&amp;action=default&amp;mobileredirect=true&amp;DefaultItemOpen=1</t>
  </si>
  <si>
    <t>22-Jan-2026: Will fill the feedback by today</t>
  </si>
  <si>
    <t>A59</t>
  </si>
  <si>
    <t>Deepak Srinivasan</t>
  </si>
  <si>
    <t>Mentee Action Items - Vaultastic (Deepak Srinivasan).docx</t>
  </si>
  <si>
    <t>https://wadhwanifoundation-my.sharepoint.com/:w:/g/personal/vaibhav_mattas_wadhwanifoundation_org/IQDi7QplNFA6RZR852nkQJwkAfqPYxDbhcGw3rRD9Q6srMA?e=buBGzE</t>
  </si>
  <si>
    <t>https://wadhwanifoundation-my.sharepoint.com/personal/accelerate_wadhwanifoundation_org/_layouts/15/viewer.aspx?sourcedoc={f38add6e-992a-4c7e-bbbb-66688a9c1788}</t>
  </si>
  <si>
    <t>https://wadhwanifoundation-my.sharepoint.com/personal/vaibhav_mattas_wadhwanifoundation_org/_layouts/15/Doc.aspx?sourcedoc=%7B7767E729-A0AA-4ED9-80F0-F956E2752B2E%7D&amp;file=Expert%20Connect%203%20_%20Vaultastic%20x%20Wadhwani%20Accelerate.docx&amp;action=default&amp;mobileredirect=true&amp;DefaultItemOpen=1</t>
  </si>
  <si>
    <t>17-Feb-2026: Will fill by today
05-Feb-2026: Called twice but didn't answered
04-Feb-2026: Sent the feedback</t>
  </si>
  <si>
    <t>A60</t>
  </si>
  <si>
    <t>Will fill the form by tommorow</t>
  </si>
  <si>
    <t>A61</t>
  </si>
  <si>
    <t>A65</t>
  </si>
  <si>
    <t>Green Pods</t>
  </si>
  <si>
    <t xml:space="preserve">Arun Sharma </t>
  </si>
  <si>
    <t>Strengthen backend quality control and contract manufacturing processes.</t>
  </si>
  <si>
    <t>https://wadhwanifoundation-my.sharepoint.com/:w:/g/personal/vaibhav_mattas_wadhwanifoundation_org/IQCYJPKobpZYT6tAP9BqBdXZAb-RLDP14Ahm-K4eaA-xJK8?e=sn1yob</t>
  </si>
  <si>
    <t>https://wadhwanifoundation-my.sharepoint.com/personal/accelerate_wadhwanifoundation_org/_layouts/15/viewer.aspx?sourcedoc={80f9482b-8f8d-417d-95f2-8e526dc1f892}</t>
  </si>
  <si>
    <t>https://wadhwanifoundation-my.sharepoint.com/personal/vaibhav_mattas_wadhwanifoundation_org/_layouts/15/Doc.aspx?sourcedoc=%7B3CB09A81-5B66-46A0-A872-3B69827CCC78%7D&amp;file=Expert%20Connect%20_%20Green%20Pods%20x%20Wadhwani%20Accelerate.docx&amp;action=default&amp;mobileredirect=true&amp;DefaultItemOpen=1</t>
  </si>
  <si>
    <t>06-Jan-2026: Will fill by today 
23-Dec-2025: The meeting was rescheduled and will be happening this week
22-Dec-2025: Sent the feedback form</t>
  </si>
  <si>
    <t>A69</t>
  </si>
  <si>
    <t>Prime UAV</t>
  </si>
  <si>
    <t>https://wadhwanifoundation-my.sharepoint.com/personal/accelerate_wadhwanifoundation_org/_layouts/15/viewer.aspx?sourcedoc={80d0916e-8b4f-400a-bd71-fc431c37cfef}</t>
  </si>
  <si>
    <t>https://wadhwanifoundation-my.sharepoint.com/:w:/g/personal/vaibhav_mattas_wadhwanifoundation_org/IQDfQD_C5Jc8Q608-tGyN5T-AXjNRK4_-4kkml9LmKSN8Uc?e=MB96sJ</t>
  </si>
  <si>
    <t>18/12/2025: Will form by 11 AM
Ms. Palak picked the call on his behalf and told that they will fill form by tommorow 10:30 AM</t>
  </si>
  <si>
    <t>A70</t>
  </si>
  <si>
    <t>Rises.io</t>
  </si>
  <si>
    <t>Will fill the details by 7PM Today</t>
  </si>
  <si>
    <t>A71</t>
  </si>
  <si>
    <t>Tailor Smart</t>
  </si>
  <si>
    <t>27-Jan-2026: Sent the feedback form</t>
  </si>
  <si>
    <t>A75</t>
  </si>
  <si>
    <t>28-Jan-2026: Filled the feedback
21-Jan-2025: Will fill by EOD</t>
  </si>
  <si>
    <t>A80</t>
  </si>
  <si>
    <t>https://wadhwanifoundation-my.sharepoint.com/personal/accelerate_wadhwanifoundation_org/_layouts/15/viewer.aspx?sourcedoc={cf71edc4-5f7c-4a28-a359-f123d8386d80}</t>
  </si>
  <si>
    <t>https://wadhwanifoundation-my.sharepoint.com/:w:/g/personal/vaibhav_mattas_wadhwanifoundation_org/IQCfztZ49gOcTLuWke47QP2GAZFsjJ11KQYHrQGHusEdyQk?e=CBcDp8</t>
  </si>
  <si>
    <t>22-Dec-2025: Sent the feedback form</t>
  </si>
  <si>
    <t>A81</t>
  </si>
  <si>
    <t>https://wadhwanifoundation-my.sharepoint.com/:v:/g/personal/accelerate_wadhwanifoundation_org/IQDLSPa2N6iORIrkKxJeTWzeAUmqml6fP-q7EFfB7HKnl8E?e=kf981A&amp;nav=eyJyZWZlcnJhbEluZm8iOnsicmVmZXJyYWxBcHAiOiJTdHJlYW1XZWJBcHAiLCJyZWZlcnJhbFZpZXciOiJTaGFyZURpYWxvZy1MaW5rIiwicmVmZXJyYWxBcHBQbGF0Zm9ybSI6IldlYiIsInJlZmVycmFsTW9kZSI6InZpZXcifX0%3D</t>
  </si>
  <si>
    <t>https://wadhwanifoundation-my.sharepoint.com/:w:/g/personal/vaibhav_mattas_wadhwanifoundation_org/IQDuZN6Lev1ETpJdUloSwWmlATTMWjKqpJQhOU3gO59-vBs?e=Th7YTf</t>
  </si>
  <si>
    <t>A82</t>
  </si>
  <si>
    <t>amPICQ</t>
  </si>
  <si>
    <t>Amiya Srivastava</t>
  </si>
  <si>
    <t>A83</t>
  </si>
  <si>
    <t>Mohit Monga</t>
  </si>
  <si>
    <t>A84</t>
  </si>
  <si>
    <t>Redicine Medsol</t>
  </si>
  <si>
    <t>Vaibhav Tewari</t>
  </si>
  <si>
    <t>https://wadhwanifoundation-my.sharepoint.com/personal/accelerate_wadhwanifoundation_org/_layouts/15/viewer.aspx?sourcedoc={1737de07-7472-441b-ab4f-1d995411e5b0}</t>
  </si>
  <si>
    <t>https://wadhwanifoundation-my.sharepoint.com/:w:/g/personal/vaibhav_mattas_wadhwanifoundation_org/IQDAu6De93-lRIC3_UgSXl2rAb_L2Kx7uoXthF-JPoZBBEo?e=6IFuji</t>
  </si>
  <si>
    <t>23-Dec-2025: Will fill the feedback by 12PM today
22-Dec-2025: Called twice but no response
19-Dec-2025: Called twice but no response</t>
  </si>
  <si>
    <t>A87</t>
  </si>
  <si>
    <t>Univia</t>
  </si>
  <si>
    <t xml:space="preserve">Ahmedabad </t>
  </si>
  <si>
    <t>Prashant Mandke</t>
  </si>
  <si>
    <t>https://wadhwanifoundation-my.sharepoint.com/personal/accelerate_wadhwanifoundation_org/_layouts/15/viewer.aspx?sourcedoc={0e4830a2-8d88-4714-864f-8c658057f817}</t>
  </si>
  <si>
    <t>https://wadhwanifoundation-my.sharepoint.com/:w:/g/personal/vaibhav_mattas_wadhwanifoundation_org/IQCsCsO8Rp6MQ5_uwgTrNMeIAcpLmzBputvJhh6AxeXlkI4?e=jOY8H7</t>
  </si>
  <si>
    <t>A88</t>
  </si>
  <si>
    <t>Atreya Innovations</t>
  </si>
  <si>
    <t>Mentee Action Items - Atreya Innovations (Sriram)</t>
  </si>
  <si>
    <t>https://wadhwanifoundation-my.sharepoint.com/personal/accelerate_wadhwanifoundation_org/_layouts/15/viewer.aspx?sourcedoc={d5511bb4-ac41-4a5d-a5fd-78bbde4f23dc}</t>
  </si>
  <si>
    <t>https://wadhwanifoundation-my.sharepoint.com/personal/vaibhav_mattas_wadhwanifoundation_org/_layouts/15/Doc.aspx?sourcedoc=%7B3EB033BE-FD2A-487A-A40C-1688B7F3885B%7D&amp;file=Expert%20Connect%201%20_%20Atreya%20Innovations%20x%20Wadhwani%20Accelerate.docx&amp;action=default&amp;mobileredirect=true&amp;DefaultItemOpen=1</t>
  </si>
  <si>
    <t>28-Jan-2026: FIlled the feedback
28-Jan-2026: Rejected the call
27-Jan-2026: Sent the feedback form</t>
  </si>
  <si>
    <t>A90</t>
  </si>
  <si>
    <t>Mentee Action Items - Atreya Innovations (Sriram) 2.docx</t>
  </si>
  <si>
    <t>https://wadhwanifoundation-my.sharepoint.com/:v:/g/personal/accelerate_wadhwanifoundation_org/IQAQHZcayc-8S6IFcLhbtLq2AbwrKYU2RJwAGubr93GFXgM?e=kvoRY3&amp;nav=eyJyZWZlcnJhbEluZm8iOnsicmVmZXJyYWxBcHAiOiJTdHJlYW1XZWJBcHAiLCJyZWZlcnJhbFZpZXciOiJTaGFyZURpYWxvZy1MaW5rIiwicmVmZXJyYWxBcHBQbGF0Zm9ybSI6IldlYiIsInJlZmVycmFsTW9kZSI6InZpZXcifX0%3D</t>
  </si>
  <si>
    <t>https://wadhwanifoundation-my.sharepoint.com/personal/vaibhav_mattas_wadhwanifoundation_org/_layouts/15/Doc.aspx?sourcedoc=%7BD6161283-CA3E-4A20-B503-CBE867467E02%7D&amp;file=Expert%20Connect%203%20_%20Atreya%20Innovations%20x%20Wadhwani%20Accelerate.docx&amp;action=default&amp;mobileredirect=true&amp;DefaultItemOpen=1</t>
  </si>
  <si>
    <t>17-Feb-2026: Will fill the form shortly
12-Feb-2026: Sent the feedback</t>
  </si>
  <si>
    <t>A91</t>
  </si>
  <si>
    <t>Akshay from his team has taken meeting with Crispino and he asked to shared to details over whatsapp and will form by today</t>
  </si>
  <si>
    <t>A92</t>
  </si>
  <si>
    <t>28-Jan-2026: Filled the feedback form
28-Jan-2026: Rejected the call
27-Jan-2026: Sent the feedback form</t>
  </si>
  <si>
    <t>A95</t>
  </si>
  <si>
    <t>Foodnest</t>
  </si>
  <si>
    <t>03-Feb-2026: Will do by today
28-Jan-2026: Preeti will call in evening
27-Jan-2026: Sent the feedback form</t>
  </si>
  <si>
    <t>A96</t>
  </si>
  <si>
    <t>Indian Drivers</t>
  </si>
  <si>
    <t>Filled the feedback form</t>
  </si>
  <si>
    <t>A98</t>
  </si>
  <si>
    <t>Gyrodrive</t>
  </si>
  <si>
    <t>Garima Mitra</t>
  </si>
  <si>
    <t>Fund raising: WIP Legal Advise - Legal expert to review fund raise related documents.</t>
  </si>
  <si>
    <t>https://wadhwanifoundation-my.sharepoint.com/:w:/g/personal/vaibhav_mattas_wadhwanifoundation_org/IQC7UkyWoomPR6_XajBiZhwYAQfay7ySC_v56AHCV2ikECk?e=V7psbN</t>
  </si>
  <si>
    <t>https://wadhwanifoundation-my.sharepoint.com/:w:/g/personal/vaibhav_mattas_wadhwanifoundation_org/IQCYJPKobpZYT6tAP9BqBdXZAb-RLDP14Ahm-K4eaA-xJK8?e=29Ecq7</t>
  </si>
  <si>
    <t>https://wadhwanifoundation-my.sharepoint.com/personal/accelerate_wadhwanifoundation_org/_layouts/15/viewer.aspx?sourcedoc={23bd464c-7aa1-4af4-a0a7-7b39c8e5dffd}</t>
  </si>
  <si>
    <t>https://wadhwanifoundation-my.sharepoint.com/personal/vaibhav_mattas_wadhwanifoundation_org/_layouts/15/Doc.aspx?sourcedoc=%7BDFC35B22-1044-40A6-BD39-55146A571F01%7D&amp;file=Expert%20Connect%201%20_%20Gyrodrive%20x%20Wadhwani%20Accelerate.docx&amp;action=default&amp;mobileredirect=true&amp;DefaultItemOpen=1</t>
  </si>
  <si>
    <t>A99</t>
  </si>
  <si>
    <t>28-Jan-2026: FIlled the form
27-Jan-2026: Sent the feedback form</t>
  </si>
  <si>
    <t>A100</t>
  </si>
  <si>
    <t>03-Feb-2026: Called Twice but not answering the calls. Asked the HM to coordinate with him
28-Jan-2026: Not Responding
27-Jan-2026: Sent the feedback form</t>
  </si>
  <si>
    <t>A101</t>
  </si>
  <si>
    <t>Frontierz</t>
  </si>
  <si>
    <t>Sandeep Gupta</t>
  </si>
  <si>
    <t>Product Roadmap &amp; GTM Startegy</t>
  </si>
  <si>
    <t>https://wadhwanifoundation-my.sharepoint.com/:w:/g/personal/vaibhav_mattas_wadhwanifoundation_org/IQC7UkyWoomPR6_XajBiZhwYAQfay7ySC_v56AHCV2ikECk?e=jyCAxb</t>
  </si>
  <si>
    <t>Mentor Brief - Frontierz (Sandeep Gupta).docx</t>
  </si>
  <si>
    <t>https://wadhwanifoundation-my.sharepoint.com/personal/accelerate_wadhwanifoundation_org/_layouts/15/viewer.aspx?sourcedoc={4503c524-7946-40a7-ba02-39d6efeb43ce}</t>
  </si>
  <si>
    <t>https://wadhwanifoundation-my.sharepoint.com/personal/vaibhav_mattas_wadhwanifoundation_org/_layouts/15/Doc.aspx?sourcedoc=%7BEA411141-DED8-46C4-9FF4-65AEBBF4FB33%7D&amp;file=Expert%20Connect%201%20_%20Frontierz%20x%20Wadhwani%20Accelerate.docx&amp;action=default&amp;mobileredirect=true&amp;DefaultItemOpen=1</t>
  </si>
  <si>
    <t>A105</t>
  </si>
  <si>
    <t>Hogist technologies Pvt Ltd</t>
  </si>
  <si>
    <t>https://wadhwanifoundation-my.sharepoint.com/:w:/g/personal/vaibhav_mattas_wadhwanifoundation_org/IQDD5T7f_WHuTLKV9M4FpH0dAQm7hRrxI6K9uyfpeo2JpOE?e=d0Q9bv</t>
  </si>
  <si>
    <t>Not Available</t>
  </si>
  <si>
    <t>https://wadhwanifoundation-my.sharepoint.com/personal/accelerate_wadhwanifoundation_org/_layouts/15/viewer.aspx?sourcedoc={217660bd-31db-4b36-8ac9-fa3b13cb3365}</t>
  </si>
  <si>
    <t>https://wadhwanifoundation-my.sharepoint.com/:w:/g/personal/vaibhav_mattas_wadhwanifoundation_org/IQCK7Dv-ySflS5bOQP6Fu0YBAYMpENl5x6ApB7uEPR37XZM?e=tLUAkS</t>
  </si>
  <si>
    <t>12-Feb-2026: Sent the feedback</t>
  </si>
  <si>
    <t>A108</t>
  </si>
  <si>
    <t>Leankloud</t>
  </si>
  <si>
    <t>https://wadhwanifoundation-my.sharepoint.com/personal/accelerate_wadhwanifoundation_org/_layouts/15/viewer.aspx?sourcedoc={c9a8eefb-1967-4e0c-aad3-88816c608a42}</t>
  </si>
  <si>
    <t>https://wadhwanifoundation-my.sharepoint.com/:w:/g/personal/vaibhav_mattas_wadhwanifoundation_org/IQCxv7Y8A4YQRphCPbvGhnQ3AUqkZ1exp5jFzbB0uxk_890?e=pIzd0I</t>
  </si>
  <si>
    <t>18-Dec-2025: Called twice but no response
I called, but they cut the call.</t>
  </si>
  <si>
    <t>A109</t>
  </si>
  <si>
    <t xml:space="preserve">1. Market Access &amp; Channel Partnership Enablement	
2. Sales &amp; GTM Strategy Advisory	</t>
  </si>
  <si>
    <t>https://wadhwanifoundation-my.sharepoint.com/:w:/g/personal/vaibhav_mattas_wadhwanifoundation_org/IQDPEcjvyYcpTJg0tAdi22sEAa2ceDOOY4cFmJKHy88K7Qk?e=UP5IkH</t>
  </si>
  <si>
    <t>Mentor Brief - Leankloud (Ashish Mittal).docx</t>
  </si>
  <si>
    <t>https://wadhwanifoundation-my.sharepoint.com/personal/accelerate_wadhwanifoundation_org/_layouts/15/viewer.aspx?sourcedoc={81bc8bc2-bf2b-4abb-b015-f5206e2a568b}</t>
  </si>
  <si>
    <t>https://wadhwanifoundation-my.sharepoint.com/personal/vaibhav_mattas_wadhwanifoundation_org/_layouts/15/Doc.aspx?sourcedoc=%7B69BCFBE6-E8A1-4CF3-8134-7D899FB1E56E%7D&amp;file=Expert%20Connect%202%20_%20LeanKloud%20x%20Wadhwani%20Accelerate.docx&amp;action=default&amp;mobileredirect=true&amp;DefaultItemOpen=1</t>
  </si>
  <si>
    <t>Sent Feedback Form</t>
  </si>
  <si>
    <t xml:space="preserve">20-Jan-2026: founder is saying Session is half done.  Once the session is fully complete, we will provide the feedback. </t>
  </si>
  <si>
    <t>A111</t>
  </si>
  <si>
    <t>Velaan Mart Pvt Ltd</t>
  </si>
  <si>
    <t>GTM and Strategy</t>
  </si>
  <si>
    <t>https://wadhwanifoundation-my.sharepoint.com/:w:/g/personal/vaibhav_mattas_wadhwanifoundation_org/IQCpW4BS9THtQ5xCuOSLbBbwAb5M6dYbl6oMeH8kbNLBRtg?e=3Do716</t>
  </si>
  <si>
    <t>https://wadhwanifoundation-my.sharepoint.com/personal/accelerate_wadhwanifoundation_org/_layouts/15/viewer.aspx?sourcedoc={0a049fe0-b962-4e61-91f2-51e853bfb1e8}</t>
  </si>
  <si>
    <t>https://wadhwanifoundation-my.sharepoint.com/personal/vaibhav_mattas_wadhwanifoundation_org/_layouts/15/Doc.aspx?sourcedoc=%7B855DF62C-5226-4C3E-94D7-858B557126ED%7D&amp;file=Expert%20Connect%201%20_%20Velaan%20Mart%20x%20Wadhwani%20Accelerate.docx&amp;action=default&amp;mobileredirect=true&amp;DefaultItemOpen=1</t>
  </si>
  <si>
    <t>18-Feb-2026: Didn't answered the calls
12-Feb-2026: Sent the feedback</t>
  </si>
  <si>
    <t>A115</t>
  </si>
  <si>
    <t>Nuutjobs</t>
  </si>
  <si>
    <t>Gopal Kalra</t>
  </si>
  <si>
    <t>https://wadhwanifoundation-my.sharepoint.com/:v:/g/personal/accelerate_wadhwanifoundation_org/IQDI5OTQIMrQSbc_XuTb3rxWAUePOrLneuEftZQ7tZUrTEs?e=TR3JK7&amp;nav=eyJyZWZlcnJhbEluZm8iOnsicmVmZXJyYWxBcHAiOiJTdHJlYW1XZWJBcHAiLCJyZWZlcnJhbFZpZXciOiJTaGFyZURpYWxvZy1MaW5rIiwicmVmZXJyYWxBcHBQbGF0Zm9ybSI6IldlYiIsInJlZmVycmFsTW9kZSI6InZpZXcifX0%3D</t>
  </si>
  <si>
    <t>https://wadhwanifoundation-my.sharepoint.com/:w:/g/personal/vaibhav_mattas_wadhwanifoundation_org/IQC-OQRDVWiPRoTL-BR7zbPBAShChc69B8qbd0o7xxTLfSU?e=ah7GpW</t>
  </si>
  <si>
    <t>Asked to share the details over WhatsApp and will form by today</t>
  </si>
  <si>
    <t>A116</t>
  </si>
  <si>
    <t>A117</t>
  </si>
  <si>
    <t>28-Jan-2026: Filled the feedback
28-Jan-2026: Will call shortly
22-Jan-2026: Called twice but didn't responded
21-Jan-2026: Will submit by tommorow</t>
  </si>
  <si>
    <t>A119</t>
  </si>
  <si>
    <t>Raw Pharma</t>
  </si>
  <si>
    <t>Dr. Jagadeesh Gandla</t>
  </si>
  <si>
    <t>https://wadhwanifoundation-my.sharepoint.com/personal/accelerate_wadhwanifoundation_org/_layouts/15/viewer.aspx?sourcedoc={b2cea4e5-b4d8-4738-93d5-ce7a386a4391}</t>
  </si>
  <si>
    <t>https://wadhwanifoundation-my.sharepoint.com/:w:/g/personal/vaibhav_mattas_wadhwanifoundation_org/IQDyT9oN_e8HTqJi4421fccAAcb8tz7wde-JNlVjIZApkAc?e=I6QnFw</t>
  </si>
  <si>
    <t>A120</t>
  </si>
  <si>
    <t>Mukul Bagga</t>
  </si>
  <si>
    <t>https://wadhwanifoundation-my.sharepoint.com/personal/accelerate_wadhwanifoundation_org/_layouts/15/viewer.aspx?sourcedoc={cd7cabc0-321f-44e8-8bd0-a4d756707719}</t>
  </si>
  <si>
    <t>https://wadhwanifoundation-my.sharepoint.com/personal/vaibhav_mattas_wadhwanifoundation_org/_layouts/15/Doc.aspx?sourcedoc=%7B3A5A261A-8162-4DF1-86A5-61CBD6B297B0%7D&amp;file=Expert%20Connect%202%20_%20Raw%20Pharma%20x%20Wadhwani%20Accelerate.docx&amp;action=default&amp;mobileredirect=true&amp;DefaultItemOpen=1</t>
  </si>
  <si>
    <t>A122</t>
  </si>
  <si>
    <t>Rupaal Singh</t>
  </si>
  <si>
    <t>https://wadhwanifoundation-my.sharepoint.com/:w:/g/personal/vaibhav_mattas_wadhwanifoundation_org/IQBgct4HgZxtQriZ8_Dao3u7Acx22Ux73Px1qO_fp6afYJI?e=5NtXvB</t>
  </si>
  <si>
    <t>https://wadhwanifoundation-my.sharepoint.com/personal/accelerate_wadhwanifoundation_org/_layouts/15/viewer.aspx?sourcedoc={73479bd4-02d3-43b3-aec6-bbe25d9822b6}</t>
  </si>
  <si>
    <t>https://wadhwanifoundation-my.sharepoint.com/personal/vaibhav_mattas_wadhwanifoundation_org/_layouts/15/Doc.aspx?sourcedoc=%7BEAC985A3-3EB2-4DE1-9445-2F5FCB700CF4%7D&amp;file=Expert%20Connect%203%20_%20Raw%20Pharma%20x%20Wadhwani%20Accelerate.docx&amp;action=default&amp;mobileredirect=true&amp;DefaultItemOpen=1</t>
  </si>
  <si>
    <t>A131</t>
  </si>
  <si>
    <t>Elite Decor Pvt. Ltd</t>
  </si>
  <si>
    <t>Accelerate Select</t>
  </si>
  <si>
    <t>Vinod Keni</t>
  </si>
  <si>
    <t>Secure Capital for Scale</t>
  </si>
  <si>
    <t>Mentee Action Items- Elite Decor Pvt. Ltd (10 Apr 2026).docx</t>
  </si>
  <si>
    <t>https://wadhwanifoundation-my.sharepoint.com/:w:/g/personal/vaibhav_mattas_wadhwanifoundation_org/IQBvK0ZP3tPoTqJSo4oyk9wlASC-0s4UV_YaCXSs-9wJwK8?e=pbLAxj</t>
  </si>
  <si>
    <t>https://wadhwanifoundation-my.sharepoint.com/:v:/g/personal/accelerate_wadhwanifoundation_org/IQB-68jwMZVMRYSdQboo4QBGAb9kFita3CcTjTuA87lwn4w?e=Nh3YNw&amp;nav=eyJyZWZlcnJhbEluZm8iOnsicmVmZXJyYWxBcHAiOiJTdHJlYW1XZWJBcHAiLCJyZWZlcnJhbFZpZXciOiJTaGFyZURpYWxvZy1MaW5rIiwicmVmZXJyYWxBcHBQbGF0Zm9ybSI6IldlYiIsInJlZmVycmFsTW9kZSI6InZpZXcifX0%3D</t>
  </si>
  <si>
    <t>https://wadhwanifoundation-my.sharepoint.com/:w:/g/personal/vaibhav_mattas_wadhwanifoundation_org/IQBjZAUeRpm6QLC0ETkbPTzHAcvqd21Ztix4FAOR0ZH50ww?e=4qv4sB</t>
  </si>
  <si>
    <t>22-Apr-2026: Founder filled it today
10-Apr-2026: Sent the feedback form</t>
  </si>
  <si>
    <t>A156</t>
  </si>
  <si>
    <t>Zeus Engitech Private Limited</t>
  </si>
  <si>
    <t>Ankit Majumdar</t>
  </si>
  <si>
    <t>Develop a Proactive Export Strategy Export Strategy Mentorship</t>
  </si>
  <si>
    <t>https://wadhwanifoundation-my.sharepoint.com/personal/vaibhav_mattas_wadhwanifoundation_org/Documents/Attachments/Mentee%20Action%20Plan%20(Zeus%20Engitech%20x%C2%A0Ankit%20Majumdar).pdf</t>
  </si>
  <si>
    <t>Mentee Action Items - Zeus Engitech Private Limited (Ankit Majumdar)</t>
  </si>
  <si>
    <t>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t>
  </si>
  <si>
    <t>Expert Connect 1 _ Zeus Engitech x Wadhwani Accelerate.docx</t>
  </si>
  <si>
    <t xml:space="preserve">Filled Feedback Form </t>
  </si>
  <si>
    <t xml:space="preserve">
10-Apr-2026: Sent feedback form</t>
  </si>
  <si>
    <t>A161</t>
  </si>
  <si>
    <t>MiCoB Pvt Ltd</t>
  </si>
  <si>
    <t>Amit Saluja</t>
  </si>
  <si>
    <t>Offline Meeting</t>
  </si>
  <si>
    <t>A165</t>
  </si>
  <si>
    <t>REAGRI - NANOBEE BIOINNOVATIONS</t>
  </si>
  <si>
    <t>Pradeep Malu</t>
  </si>
  <si>
    <t>"Carbon Credit Buyer Access – Introductions to large ESG-driven buyers (MNCs, data centers, mining, oil, shipping companies) to unlock scale in the carbon credit vertical.
"</t>
  </si>
  <si>
    <t>Mentee Action Items - REAGRI - NANOBEE BIOINNOVATIONS (Pradeep Malu).docx</t>
  </si>
  <si>
    <t>https://wadhwanifoundation-my.sharepoint.com/:w:/g/personal/vaibhav_mattas_wadhwanifoundation_org/IQDKjiomdU0YQryLH2XU3kqWAW_XKGM6lEACBoi38_NRgg0?e=Na7z98</t>
  </si>
  <si>
    <t>https://wadhwanifoundation-my.sharepoint.com/personal/accelerate_wadhwanifoundation_org/_layouts/15/viewer.aspx?sourcedoc={92a08512-5801-4537-b77d-bdb05be20a70}</t>
  </si>
  <si>
    <t>https://wadhwanifoundation-my.sharepoint.com/personal/vaibhav_mattas_wadhwanifoundation_org/_layouts/15/Doc.aspx?sourcedoc=%7B8F3985D4-D876-4198-BA41-DB54902C7BD8%7D&amp;file=Expert%20Connect%202%20_%20REAGRI%20x%20Wadhwani%20Accelerate.docx&amp;action=default&amp;mobileredirect=true&amp;DefaultItemOpen=1</t>
  </si>
  <si>
    <t>A166</t>
  </si>
  <si>
    <t>Suhasini Barman</t>
  </si>
  <si>
    <t>https://wadhwanifoundation-my.sharepoint.com/personal/accelerate_wadhwanifoundation_org/_layouts/15/viewer.aspx?sourcedoc={957c454c-67c4-48b3-9ff5-fa1bef3e2e58}</t>
  </si>
  <si>
    <t>https://wadhwanifoundation-my.sharepoint.com/personal/vaibhav_mattas_wadhwanifoundation_org/_layouts/15/Doc.aspx?sourcedoc=%7BB5AC8EEA-41C3-411F-8232-02A913E8289B%7D&amp;file=Expert%20Connect%201%20_%20REAGRI%20x%20Wadhwani%20Accelerate.docx&amp;action=default&amp;mobileredirect=true&amp;DefaultItemOpen=1</t>
  </si>
  <si>
    <t>31-Dec-2025: Nayan told he will forward to Yogesh</t>
  </si>
  <si>
    <t>A170</t>
  </si>
  <si>
    <t>"Marketing &amp; Digital Presence – Support from a professional agency to revamp the website, streamline content, and build a consistent social media strategy for organic input products.
"</t>
  </si>
  <si>
    <t>No recording found</t>
  </si>
  <si>
    <t>Mentor Brief - REAGRI - NANOBEE BIOINNOVATIONS (Suhasini Barman).docx</t>
  </si>
  <si>
    <t>A171</t>
  </si>
  <si>
    <t>Rupiya Finnovations Pvt Ltd</t>
  </si>
  <si>
    <t>16-Apr-2026: Called twice but venture not answering the calls</t>
  </si>
  <si>
    <t>A172</t>
  </si>
  <si>
    <t>Srinivas Yanamandra</t>
  </si>
  <si>
    <t>https://wadhwanifoundation-my.sharepoint.com/:w:/g/personal/vaibhav_mattas_wadhwanifoundation_org/IQBpxhGMJzkbTp34pJessc23Aa3rzsCdXdNH4N6kBlzRYic?e=Lp4nb3</t>
  </si>
  <si>
    <t>https://wadhwanifoundation-my.sharepoint.com/personal/accelerate_wadhwanifoundation_org/_layouts/15/viewer.aspx?sourcedoc={2e974617-998f-4bb0-9cab-470cc0a7ef82}</t>
  </si>
  <si>
    <t>https://wadhwanifoundation-my.sharepoint.com/personal/vaibhav_mattas_wadhwanifoundation_org/_layouts/15/Doc.aspx?sourcedoc=%7BB4ABD0DA-4096-4E54-B0F5-D29C4C6B11CB%7D&amp;file=Expert%20Connect%201%20_%20Rupiya%20Finnovations%20x%20Wadhwani%20Accelerate.docx&amp;action=default&amp;mobileredirect=true&amp;DefaultItemOpen=1</t>
  </si>
  <si>
    <t>A174</t>
  </si>
  <si>
    <t>Stembotix</t>
  </si>
  <si>
    <t>Pradeep Rathi</t>
  </si>
  <si>
    <t>B2G &amp; Enterprise Market Access – Support in connecting with CSR heads of large conglomerates and introductions to top school chains (DPS, Jaipuria, etc.) to accelerate domestic sales.</t>
  </si>
  <si>
    <t>https://wadhwanifoundation-my.sharepoint.com/:w:/g/personal/vaibhav_mattas_wadhwanifoundation_org/IQDd20zf1126TaKqkO9i25jwASf8EziyD4BiPwnIGU7ONA0?e=GaH1U1</t>
  </si>
  <si>
    <t>Mentor Brief - Stembotix (Pradeep Rathi).docx</t>
  </si>
  <si>
    <t>https://wadhwanifoundation-my.sharepoint.com/personal/accelerate_wadhwanifoundation_org/_layouts/15/viewer.aspx?sourcedoc={eebdd1f6-8f39-4cb7-9447-9db7c5302ae9}</t>
  </si>
  <si>
    <t>https://wadhwanifoundation-my.sharepoint.com/personal/vaibhav_mattas_wadhwanifoundation_org/_layouts/15/Doc.aspx?sourcedoc=%7B74A8B764-374D-44A6-85A1-6FE1F44C0AEE%7D&amp;file=Expert%20Connect%201%20_%20Stembotix%20x%20Wadhwani%20Accelerate.docx&amp;action=default&amp;mobileredirect=true&amp;DefaultItemOpen=1</t>
  </si>
  <si>
    <t>06-Jan-2025: Asked to call to tommorow</t>
  </si>
  <si>
    <t>A175</t>
  </si>
  <si>
    <t>Kavya Dehulia</t>
  </si>
  <si>
    <t>Branding &amp; Product Experience – Guidance from a branding/packaging agency to strengthen visual identity, differentiate SKUs, and refine UI/UX for the B2C self-learning model.</t>
  </si>
  <si>
    <t>Mentee Action Items - Stembotix (Kavya Dehulia).docx</t>
  </si>
  <si>
    <t>Mentor Brief - Stembotix (Kavya Dehulia).docx</t>
  </si>
  <si>
    <t>https://wadhwanifoundation-my.sharepoint.com/personal/accelerate_wadhwanifoundation_org/_layouts/15/viewer.aspx?sourcedoc={ef07e6ed-6191-4c2f-8858-857d0907cbd3}</t>
  </si>
  <si>
    <t>https://wadhwanifoundation-my.sharepoint.com/personal/vaibhav_mattas_wadhwanifoundation_org/_layouts/15/Doc.aspx?sourcedoc=%7B12F654CD-BB18-466D-9989-8504E5CA3B89%7D&amp;file=Expert%20Connect%202%20_%20StemBotix%20x%20Wadhwani%20Accelerate.docx&amp;action=default&amp;mobileredirect=true&amp;DefaultItemOpen=1</t>
  </si>
  <si>
    <t>A177</t>
  </si>
  <si>
    <t>Funding &amp; Positioning – Strategic mentorship on framing Stembotix as a deep-tech edtech enterprise to strengthen its fundraising narrative for VCs and PE funds.</t>
  </si>
  <si>
    <t>Mentee Action Items - Stembotix (Amiya Srivastava).docx</t>
  </si>
  <si>
    <t>Mentor Brief - Stembotix (Amiya Srivastava).docx</t>
  </si>
  <si>
    <t>https://wadhwanifoundation-my.sharepoint.com/personal/accelerate_wadhwanifoundation_org/_layouts/15/viewer.aspx?sourcedoc={99cb1cdf-eb70-435c-b61e-c45bec8f345c}</t>
  </si>
  <si>
    <t>https://wadhwanifoundation-my.sharepoint.com/personal/vaibhav_mattas_wadhwanifoundation_org/_layouts/15/Doc.aspx?sourcedoc=%7BD87A12DB-83E1-433D-9C42-CB35B5E10116%7D&amp;file=Expert%20Connect%203%20_%20Stembotix%20x%20Wadhwani%20Accelerate%20(1).docx&amp;action=default&amp;mobileredirect=true&amp;DefaultItemOpen=1</t>
  </si>
  <si>
    <t>A178</t>
  </si>
  <si>
    <t>Ask Eva</t>
  </si>
  <si>
    <t>Market Expansion &amp; Partnership Building</t>
  </si>
  <si>
    <t>Mentee Action Items - Ask Eva (Vignesh Narayanan).docx</t>
  </si>
  <si>
    <t>https://wadhwanifoundation-my.sharepoint.com/:w:/g/personal/vaibhav_mattas_wadhwanifoundation_org/IQCHCDBL4zgJTZdQNgB8PXx0AXyOBwqx4Q-1__a4LvlrHLU?e=yZJZ3x</t>
  </si>
  <si>
    <t>https://wadhwanifoundation-my.sharepoint.com/personal/accelerate_wadhwanifoundation_org/_layouts/15/viewer.aspx?sourcedoc={a2ec0032-ae86-4f00-9b03-e6de9fc51ca1}</t>
  </si>
  <si>
    <t>https://wadhwanifoundation-my.sharepoint.com/personal/vaibhav_mattas_wadhwanifoundation_org/_layouts/15/Doc.aspx?sourcedoc=%7B1335BA6A-9B6B-4182-8E5A-3CAA73A707E8%7D&amp;file=Expert%20Connect%201%20_%20Ask%20Eva%20x%20Wadhwani%20Accelerate.docx&amp;action=default&amp;mobileredirect=true&amp;DefaultItemOpen=1</t>
  </si>
  <si>
    <t>Sent Feedback Form: Founder not responding</t>
  </si>
  <si>
    <t>05-Feb-2026: Founder is not responding to the calls 
03-Feb-2026: WIll fill in  an hour
28-Jan-2026: Will fill the feedback by today
27-Jan-2026: Sent the feedback form</t>
  </si>
  <si>
    <t>A179</t>
  </si>
  <si>
    <t>Aeronero Solutions Private Limited</t>
  </si>
  <si>
    <t>https://wadhwanifoundation-my.sharepoint.com/personal/accelerate_wadhwanifoundation_org/_layouts/15/viewer.aspx?sourcedoc={c573c64b-3b97-437d-9878-021e10da8b01}</t>
  </si>
  <si>
    <t>Expert Connect _ Aeronero x Wadhwani Accelerate.docx</t>
  </si>
  <si>
    <t>A181</t>
  </si>
  <si>
    <t>Servercake</t>
  </si>
  <si>
    <t>Abhay Jajoo</t>
  </si>
  <si>
    <t>Increase enterprise sales</t>
  </si>
  <si>
    <t>Mentee Action Items - ServerCake (Abhay Jajoo).docx</t>
  </si>
  <si>
    <t>Mentor Brief - ServerCake (Abhay Jajoo).docx</t>
  </si>
  <si>
    <t>https://wadhwanifoundation-my.sharepoint.com/personal/accelerate_wadhwanifoundation_org/_layouts/15/viewer.aspx?sourcedoc={d54ad81f-72fb-4507-8641-7b4e623a2b82}</t>
  </si>
  <si>
    <t>https://wadhwanifoundation-my.sharepoint.com/personal/vaibhav_mattas_wadhwanifoundation_org/_layouts/15/Doc.aspx?sourcedoc=%7B9B813AB0-A1D2-40F8-8753-49F285F365BC%7D&amp;file=Expert%20Connect%201%20_%20Servercake%20x%20Wadhwani%20Accelerate.docx&amp;action=default&amp;mobileredirect=true&amp;DefaultItemOpen=1</t>
  </si>
  <si>
    <t>28-Jan-2026: Forwarded to HM as venture isn't reply
28-Jan-2026:  Called twice but didn't responed 
22-Jan-2026: Called twice but didn't responed
21-Jan-2025: Will fill by EOD
20-Jan-2026: Will fill the feedback by today</t>
  </si>
  <si>
    <t>A189</t>
  </si>
  <si>
    <t>Myharvest Farms</t>
  </si>
  <si>
    <t>Nirmallya Roy Chowdhury</t>
  </si>
  <si>
    <t>Marketing Strategy Transition</t>
  </si>
  <si>
    <t>Mentee Action Items - Myharvest Farms (Nirmallya Roy Chowdhury).docx</t>
  </si>
  <si>
    <t>Mentor Brief - Myharvest Farms (Nirmallya Roy Chowdhury).docx</t>
  </si>
  <si>
    <t>https://wadhwanifoundation-my.sharepoint.com/personal/accelerate_wadhwanifoundation_org/_layouts/15/viewer.aspx?sourcedoc={51a71571-602f-4bc1-b811-8efb777f48f7}</t>
  </si>
  <si>
    <t>https://wadhwanifoundation-my.sharepoint.com/personal/vaibhav_mattas_wadhwanifoundation_org/_layouts/15/Doc.aspx?sourcedoc=%7B77A14642-69C9-4034-B7A9-5F11BE139CA2%7D&amp;file=Expert%20Connect%201%20_%20MyHarvest%C2%A0Farms%20x%20Wadhwani%20Accelerate.docx&amp;action=default&amp;mobileredirect=true&amp;DefaultItemOpen=1</t>
  </si>
  <si>
    <t>A190</t>
  </si>
  <si>
    <t>Botminds.ai</t>
  </si>
  <si>
    <t>Mahesh Natranjan</t>
  </si>
  <si>
    <t>GTM, enterprise sales and account expansion expertise.</t>
  </si>
  <si>
    <t>Mentee Action Items - Botminds.ai (Mahesh Natrajan).docx</t>
  </si>
  <si>
    <t>Mentor Brief - Botminds.ai (Mahesh Natrajan).docx</t>
  </si>
  <si>
    <t>https://wadhwanifoundation-my.sharepoint.com/personal/accelerate_wadhwanifoundation_org/_layouts/15/viewer.aspx?sourcedoc={e1cd3993-0825-46dd-b3b9-c32728ba8fcc}</t>
  </si>
  <si>
    <t>https://wadhwanifoundation-my.sharepoint.com/personal/vaibhav_mattas_wadhwanifoundation_org/_layouts/15/Doc.aspx?sourcedoc=%7BD090E6D8-2847-453C-BA87-3C2D6296B42F%7D&amp;file=Expert%20Connect%201%20_%20Botminds.ai%20x%20Wadhwani%20Accelerate.docx&amp;action=default&amp;mobileredirect=true&amp;DefaultItemOpen=1</t>
  </si>
  <si>
    <t>10-Mar-2026: Venture not replying and told to HM for the same.
17-Feb-2026: Will do by tommorow
03-Feb-2026: WIll be doing it by Friday
28-Jan-2026: Sent the feedback form</t>
  </si>
  <si>
    <t>A191</t>
  </si>
  <si>
    <t>Alpino</t>
  </si>
  <si>
    <t>Surat</t>
  </si>
  <si>
    <t>https://wadhwanifoundation-my.sharepoint.com/personal/accelerate_wadhwanifoundation_org/_layouts/15/viewer.aspx?sourcedoc={f8f1c320-83fd-48e3-a518-9f2fe0a6f2e7}</t>
  </si>
  <si>
    <t>https://wadhwanifoundation-my.sharepoint.com/personal/vaibhav_mattas_wadhwanifoundation_org/_layouts/15/Doc.aspx?sourcedoc=%7B3F2D156A-1EF4-435B-A249-B954083699EA%7D&amp;file=Expert%20Connect%201%20_%20Alpino%20x%20Wadhwani%20Accelerate.docx&amp;action=default&amp;mobileredirect=true&amp;DefaultItemOpen=1</t>
  </si>
  <si>
    <t>06-Jan-2026: Called twice but he didn't picked the call
31-Dec-2025: Called twice but he didn't picked the call</t>
  </si>
  <si>
    <t>A193</t>
  </si>
  <si>
    <t>Dhobi G</t>
  </si>
  <si>
    <t>Mentee Action Items - Dhobi G (Krishna Dorai).docx</t>
  </si>
  <si>
    <t>https://wadhwanifoundation-my.sharepoint.com/personal/accelerate_wadhwanifoundation_org/_layouts/15/viewer.aspx?sourcedoc={f8cd782c-746a-49a4-b875-54acea4c075e}</t>
  </si>
  <si>
    <t>https://wadhwanifoundation-my.sharepoint.com/personal/vaibhav_mattas_wadhwanifoundation_org/_layouts/15/Doc.aspx?sourcedoc=%7B464DE85B-03A0-4ABE-B4D7-8179EB5F48A6%7D&amp;file=Expert%20Connect%202%20_%20Dhobi%20G%20x%20Wadhwani%20Accelerate.docx&amp;action=default&amp;mobileredirect=true&amp;DefaultItemOpen=1</t>
  </si>
  <si>
    <t>28-Jan-2026: Filled the feedback form
27-Jan-2026: Sent the feedback form</t>
  </si>
  <si>
    <t>A197</t>
  </si>
  <si>
    <t>Keepsake Automation Pvt Ltd</t>
  </si>
  <si>
    <t>Legal &amp; Compliance for Global Entry – Support in defining international terms and conditions, compliance requirements, and IP protection for proprietary hardware and software.</t>
  </si>
  <si>
    <t>https://wadhwanifoundation-my.sharepoint.com/:w:/g/personal/vaibhav_mattas_wadhwanifoundation_org/IQC-SRzQ5ptDSpRvNioR2glTASiE6WBiIPbUksldIekEdwQ?e=4Zf0yg</t>
  </si>
  <si>
    <t>https://wadhwanifoundation-my.sharepoint.com/:w:/g/personal/vaibhav_mattas_wadhwanifoundation_org/IQCXGDToK1FQRboLCeR-2s8ZAWeVVj6XZmbUlPlbYVIxVuY?e=fmrcdW</t>
  </si>
  <si>
    <t>https://wadhwanifoundation-my.sharepoint.com/:v:/g/personal/accelerate_wadhwanifoundation_org/IQAwiuI28kCRT4HVgckZ995tAaHUhtVcqnUqekrwI3Wd08A?nav=eyJyZWZlcnJhbEluZm8iOnsicmVmZXJyYWxBcHAiOiJPbmVEcml2ZUZvckJ1c2luZXNzIiwicmVmZXJyYWxBcHBQbGF0Zm9ybSI6IldlYiIsInJlZmVycmFsTW9kZSI6InZpZXciLCJyZWZlcnJhbFZpZXciOiJNeUZpbGVzTGlua0NvcHkifX0&amp;e=w9HB1D</t>
  </si>
  <si>
    <t>https://wadhwanifoundation-my.sharepoint.com/:w:/g/personal/vaibhav_mattas_wadhwanifoundation_org/IQB4gc9ZVvqaS5Ye_6Er3i0jATCCn7T4dVPUbe-MzjC4Dog?e=LTCCVs</t>
  </si>
  <si>
    <t>22-Apr-2026: Founder not responding to calls and messages
15-Apr-2026:  asked to filled it, dropped a whatsapp message.
13-Apr-2026: Called twice but venture not asking</t>
  </si>
  <si>
    <t>A198</t>
  </si>
  <si>
    <t>https://wadhwanifoundation-my.sharepoint.com/personal/accelerate_wadhwanifoundation_org/_layouts/15/viewer.aspx?sourcedoc={93784d37-bc18-44e8-9c51-df6e8edc4c23}</t>
  </si>
  <si>
    <t>https://wadhwanifoundation-my.sharepoint.com/:w:/g/personal/vaibhav_mattas_wadhwanifoundation_org/IQCbYVyFQPRNR7lAI24Frxv7AaQg2-Nzo9YU3Qc8KIdKI_A?e=O1W5ob</t>
  </si>
  <si>
    <t>A199</t>
  </si>
  <si>
    <t>Uravu Labs</t>
  </si>
  <si>
    <t>Amarpreet Kaur</t>
  </si>
  <si>
    <t>They are seeking expertise in design for manufacturing, supply chain optimization, and B2B sales strategies to target commercial offices and vertical farming (especially in arid regions), with data centers being a significant future application by utilizing waste heat</t>
  </si>
  <si>
    <t>Mentee Action Items - Uravu Labs (Amarpreet Kaur).docx</t>
  </si>
  <si>
    <t>https://wadhwanifoundation-my.sharepoint.com/:w:/g/personal/vaibhav_mattas_wadhwanifoundation_org/IQBQ6lifNEfyTqURDNgQmwK2AdQKLDeCjHXnp5-VlLP7mYo?e=6ZWBQ2</t>
  </si>
  <si>
    <t>https://wadhwanifoundation-my.sharepoint.com/personal/accelerate_wadhwanifoundation_org/_layouts/15/viewer.aspx?sourcedoc={cb45bf20-654d-408d-a54a-821f496f2967}</t>
  </si>
  <si>
    <t>https://wadhwanifoundation-my.sharepoint.com/personal/vaibhav_mattas_wadhwanifoundation_org/_layouts/15/Doc.aspx?sourcedoc=%7B55B6A256-6C5E-4380-8E56-3531CA56B8E5%7D&amp;file=Expert%20Connect%20_%20Uravu%20Labs%20x%20Wadhwani%20Accelerate.docx&amp;action=default&amp;mobileredirect=true&amp;DefaultItemOpen=1</t>
  </si>
  <si>
    <t>28-Jan-2026: Forwarded to HM as venture isn't reply
12-Jan-2025: Called twice but he didn't picked the call
07-Jan-2025: Called twice but he didn't picked the call
06-Jan-2026: Called twice but he didn't picked the call</t>
  </si>
  <si>
    <t>A206</t>
  </si>
  <si>
    <t>Nutrirasoi Foods Private Limited</t>
  </si>
  <si>
    <t>A208</t>
  </si>
  <si>
    <t>Abhishek Dakhole</t>
  </si>
  <si>
    <t>"Access to experienced advisors in D2C operations and supply chain to streamline sourcing, inventory planning, and reduce delivery timelines.
"</t>
  </si>
  <si>
    <t>Mentee Action Items - Nutrirasoi Foods Private Limited (Abhishek Dakhole).docx</t>
  </si>
  <si>
    <t>Mentor Brief - Nutrirasoi Foods Private Limited (Abhishek Dakhole).docx</t>
  </si>
  <si>
    <t>https://wadhwanifoundation-my.sharepoint.com/personal/accelerate_wadhwanifoundation_org/_layouts/15/viewer.aspx?sourcedoc={0f59b411-5670-4402-93e0-2fe6fb36bab9}</t>
  </si>
  <si>
    <t>https://wadhwanifoundation-my.sharepoint.com/personal/vaibhav_mattas_wadhwanifoundation_org/_layouts/15/Doc.aspx?sourcedoc=%7BA2B4FFE4-B0CB-4616-BB01-36BF2FA18E33%7D&amp;file=Expert%20Connect%201%20_%20NutriRasoi%20x%20Wadhwani%20Accelerate%20(1).docx&amp;action=default&amp;mobileredirect=true&amp;DefaultItemOpen=1</t>
  </si>
  <si>
    <t>18-Feb-2026: Sent the feedback</t>
  </si>
  <si>
    <t>A209</t>
  </si>
  <si>
    <t>Mentee Action Items - Nutrirasoi Foods Private Limited (Abhishek Dakhole) - 2.docx</t>
  </si>
  <si>
    <t>https://wadhwanifoundation-my.sharepoint.com/personal/accelerate_wadhwanifoundation_org/_layouts/15/viewer.aspx?sourcedoc={1fdde4b2-c67b-4efa-aeee-f3901bf2176e}</t>
  </si>
  <si>
    <t>https://wadhwanifoundation-my.sharepoint.com/:w:/g/personal/vaibhav_mattas_wadhwanifoundation_org/IQD7zjlUER1AQYhPbvL1vaANAWlVV1Wy-45CY9yOn8zZ0vA?e=RPJWvK</t>
  </si>
  <si>
    <t>A210</t>
  </si>
  <si>
    <t>Sarumam Pharmacy</t>
  </si>
  <si>
    <t>Ajay Rungta</t>
  </si>
  <si>
    <t>Growth/format expert to plan and scale a dermatology-led pharmacy and clinic chain</t>
  </si>
  <si>
    <t>Mentee Action Items - Sarumam Pharmacy (Ajay Rungta).docx</t>
  </si>
  <si>
    <t>Mentor Brief - Sarumam Pharmacy (Ajay Rungta).docx</t>
  </si>
  <si>
    <t>https://wadhwanifoundation-my.sharepoint.com/personal/accelerate_wadhwanifoundation_org/_layouts/15/viewer.aspx?sourcedoc={9434dffa-ee78-44e3-9ff3-1e4b3fbb2343}</t>
  </si>
  <si>
    <t>https://wadhwanifoundation-my.sharepoint.com/personal/vaibhav_mattas_wadhwanifoundation_org/_layouts/15/Doc.aspx?sourcedoc=%7BDC63F2CE-F96F-437E-9A35-18B61FAEFD13%7D&amp;file=Expert%20Connect%201%20_%20Sarumam%20Pharmacy%20x%20Wadhwani%20Accelerate.docx&amp;action=default&amp;mobileredirect=true&amp;DefaultItemOpen=1</t>
  </si>
  <si>
    <t>07-Jan-2025: Will fill by today
06-Jan-2025: Asked to call to tommorow</t>
  </si>
  <si>
    <t>A217</t>
  </si>
  <si>
    <t>Airmeds</t>
  </si>
  <si>
    <t>Bharat Moossaddee</t>
  </si>
  <si>
    <t>Advisory and execution support for SME IPO or PE readiness, including balance sheet cleanup, data room creation, and DRHP preparation.</t>
  </si>
  <si>
    <t>https://wadhwanifoundation-my.sharepoint.com/:w:/g/personal/vaibhav_mattas_wadhwanifoundation_org/IQAh1YR6IDdpRopuin2hIA06AY_gTUtImykXobLoDqzbuQ0?e=AYap8t</t>
  </si>
  <si>
    <t>Mentor Brief - Airmeds (Bharat).docx</t>
  </si>
  <si>
    <t>https://wadhwanifoundation-my.sharepoint.com/personal/accelerate_wadhwanifoundation_org/_layouts/15/viewer.aspx?sourcedoc={5fbfc510-e562-423b-855f-10a9817f96aa}</t>
  </si>
  <si>
    <t>https://wadhwanifoundation-my.sharepoint.com/personal/vaibhav_mattas_wadhwanifoundation_org/_layouts/15/Doc.aspx?sourcedoc=%7BF9ADAE59-ADF6-483B-B40B-65AFEF07CB4A%7D&amp;file=Expert%20Connect%201%20_%20Airmeds%20x%20Wadhwani%20Accelerate.docx&amp;action=default&amp;mobileredirect=true&amp;DefaultItemOpen=1</t>
  </si>
  <si>
    <t>21-Jan-2025: Venture is yet to have follow up meetings with the mentor to give you a feedback</t>
  </si>
  <si>
    <t>A218</t>
  </si>
  <si>
    <t>Mentee Action Items - Airmeds (Bharat) - 2.docx</t>
  </si>
  <si>
    <t>https://wadhwanifoundation-my.sharepoint.com/personal/accelerate_wadhwanifoundation_org/_layouts/15/viewer.aspx?sourcedoc={b9471078-b3fe-49b1-8fb1-65412e28ba6d}</t>
  </si>
  <si>
    <t>https://wadhwanifoundation-my.sharepoint.com/personal/vaibhav_mattas_wadhwanifoundation_org/_layouts/15/Doc.aspx?sourcedoc=%7B965A8195-49E4-47EC-93D9-CCCEE29A9892%7D&amp;file=Expert%20Connect%202%20_%20Airmeds%20x%20Wadhwani%20Accelerate.docx&amp;action=default&amp;mobileredirect=true&amp;DefaultItemOpen=1</t>
  </si>
  <si>
    <t>22-Jan-2026: Founder yet to have follow up meetings with the mentor to give you a feedback</t>
  </si>
  <si>
    <t>A219</t>
  </si>
  <si>
    <t>Agriown Farmtech</t>
  </si>
  <si>
    <t>https://wadhwanifoundation-my.sharepoint.com/:w:/g/personal/vaibhav_mattas_wadhwanifoundation_org/IQB7OKT8xEgeRoDboT1WV5sgATgkbMBaq1jq6-_cV3R8VyQ?e=uZ4lg6</t>
  </si>
  <si>
    <t>https://wadhwanifoundation-my.sharepoint.com/personal/accelerate_wadhwanifoundation_org/_layouts/15/viewer.aspx?sourcedoc={b1307710-288a-43f4-9118-b023db899a90}</t>
  </si>
  <si>
    <t>https://wadhwanifoundation-my.sharepoint.com/personal/vaibhav_mattas_wadhwanifoundation_org/_layouts/15/Doc.aspx?sourcedoc=%7BDEC524CB-A9F1-4086-84CD-E65D483BE100%7D&amp;file=Expert%20Connect%201%20_%20Agriown%C2%A0Farmtech%20x%20Wadhwani%20Accelerate.docx&amp;action=default&amp;mobileredirect=true&amp;DefaultItemOpen=1</t>
  </si>
  <si>
    <t>A220</t>
  </si>
  <si>
    <t>Terrablu</t>
  </si>
  <si>
    <t>Mentee Action Items - Terrablu (Anant Sood).docx</t>
  </si>
  <si>
    <t>https://wadhwanifoundation-my.sharepoint.com/personal/accelerate_wadhwanifoundation_org/_layouts/15/viewer.aspx?sourcedoc={e849e158-4b29-4967-afde-8045c36c6e81}</t>
  </si>
  <si>
    <t>https://wadhwanifoundation-my.sharepoint.com/personal/vaibhav_mattas_wadhwanifoundation_org/_layouts/15/Doc.aspx?sourcedoc=%7B06DC80ED-ED44-4F08-9D50-427152A30A0A%7D&amp;file=Expert%20Connect%201%20_%20Terrablu%20x%20Wadhwani%20Accelerate.docx&amp;action=default&amp;mobileredirect=true&amp;DefaultItemOpen=1</t>
  </si>
  <si>
    <t>10-Mar-2026: 
26-Feb-2026: Sent the feedback</t>
  </si>
  <si>
    <t>A227</t>
  </si>
  <si>
    <t>Exposit Immersive Solution Pvt Ltd</t>
  </si>
  <si>
    <t>Strategic support for Middle East (UAE/GCC) expansion, including enterprise intros and ecosystem access (Dubai Future Accelerators, large conglomerates).</t>
  </si>
  <si>
    <t>Mentee Action Items - Exposit Immersive Solution Pvt Ltd (Mahesh Natrajan).docx</t>
  </si>
  <si>
    <t>Mentor Brief - Exposit Immersive Solution Pvt Ltd (Mahesh Natrajan).docx</t>
  </si>
  <si>
    <t>https://wadhwanifoundation-my.sharepoint.com/personal/accelerate_wadhwanifoundation_org/_layouts/15/viewer.aspx?sourcedoc={6a4762b5-0a2d-4358-84f1-e09884e7b46e}</t>
  </si>
  <si>
    <t>https://wadhwanifoundation-my.sharepoint.com/personal/vaibhav_mattas_wadhwanifoundation_org/_layouts/15/Doc.aspx?sourcedoc=%7B506C227A-E66F-4F21-8276-BC3E778CA860%7D&amp;file=Expert%20Connect%201%20_%20Exposit%20Immersive%20Solution%20x%20Wadhwani%20Accelerate.docx&amp;action=default&amp;mobileredirect=true&amp;DefaultItemOpen=1</t>
  </si>
  <si>
    <t>20-Jan-2026: Will fill the feedback by today</t>
  </si>
  <si>
    <t>A229</t>
  </si>
  <si>
    <t>Qarmatek</t>
  </si>
  <si>
    <t>High-quality B2B introductions (500+ target accounts) to accelerate enterprise client acquisition and services revenue.</t>
  </si>
  <si>
    <t>https://wadhwanifoundation-my.sharepoint.com/:w:/g/personal/vaibhav_mattas_wadhwanifoundation_org/IQB77Ej57keySLFJ0aaeIf8jAQ4M1FVOVqlZeo0fFscSuMU?e=59c2pj</t>
  </si>
  <si>
    <t>Mentor Brief - Qarmatek (Abhay Jajoo).docx</t>
  </si>
  <si>
    <t>https://wadhwanifoundation-my.sharepoint.com/personal/accelerate_wadhwanifoundation_org/_layouts/15/viewer.aspx?sourcedoc={9c632e48-fba9-4f93-b280-44637fd7ba24}</t>
  </si>
  <si>
    <t>https://wadhwanifoundation-my.sharepoint.com/personal/vaibhav_mattas_wadhwanifoundation_org/_layouts/15/Doc.aspx?sourcedoc=%7BBF764CCC-E601-4FCA-B1E6-A45FFE6CA586%7D&amp;file=Expert%20Connect%201%20_%20Qarmatek%20x%20Wadhwani%20Accelerate.docx&amp;action=default&amp;mobileredirect=true&amp;DefaultItemOpen=1</t>
  </si>
  <si>
    <t>17-Feb-2026: Not answering the calls and messages
05-Feb-2026: Will fill by today
03-Feb-2026: Sent the feedback form</t>
  </si>
  <si>
    <t>A230</t>
  </si>
  <si>
    <t>Ashesh D. Shah</t>
  </si>
  <si>
    <t>Strategic technology leadership (CTO-level advisory) to drive AI-led procurement, pricing, and digital transformation at scale.</t>
  </si>
  <si>
    <t>Mentor Brief - Qarmatek (Ashesh D. Shah).docx</t>
  </si>
  <si>
    <t xml:space="preserve">10-Mar-2026: Will fill by today
18-Feb-2026: Will do it by 20th Feb </t>
  </si>
  <si>
    <t>A231</t>
  </si>
  <si>
    <t>Mentee Action Items - Qarmatek (Anant Sood).docx</t>
  </si>
  <si>
    <t>https://wadhwanifoundation-my.sharepoint.com/:w:/g/personal/vaibhav_mattas_wadhwanifoundation_org/IQA0srn1tV3rR5b5F4SlhB3UAasv6qVLrcOYrCDWa83nuvM?e=OH7wUZ</t>
  </si>
  <si>
    <t>https://wadhwanifoundation-my.sharepoint.com/personal/accelerate_wadhwanifoundation_org/_layouts/15/viewer.aspx?sourcedoc={6a54f50c-0c6b-4c35-a8ff-265a40ca3c47}</t>
  </si>
  <si>
    <t>https://wadhwanifoundation-my.sharepoint.com/personal/vaibhav_mattas_wadhwanifoundation_org/_layouts/15/Doc.aspx?sourcedoc=%7BF6C57712-8E13-40CF-82FA-AF421142A75E%7D&amp;file=Expert%20Connect%202%20_%20Qarmatek%20x%20Wadhwani%20Accelerate.docx&amp;action=default&amp;mobileredirect=true&amp;DefaultItemOpen=1</t>
  </si>
  <si>
    <t>A232</t>
  </si>
  <si>
    <t>Access to branding and communication experts to shift from founder-led sales to a strong pull-based consumer brand.</t>
  </si>
  <si>
    <t>Mentee Action Items - Qarmatek (Nirmallya Roy Chowdhury).docx</t>
  </si>
  <si>
    <t>Mentor Brief - Mentee Action Items - Qarmatek (Nirmallya Roy Chowdhury).docx</t>
  </si>
  <si>
    <t>https://wadhwanifoundation-my.sharepoint.com/personal/accelerate_wadhwanifoundation_org/_layouts/15/viewer.aspx?sourcedoc={727c5b07-aa99-4261-af1c-095ef5a57680}</t>
  </si>
  <si>
    <t>https://wadhwanifoundation-my.sharepoint.com/personal/vaibhav_mattas_wadhwanifoundation_org/_layouts/15/Doc.aspx?sourcedoc=%7BE48FCC17-0BE3-4191-9D14-952F3CC18861%7D&amp;file=Expert%20Connect%204%20_%20Qarmatek%20x%20Wadhwani%20Accelerate%20(1).docx&amp;action=default&amp;mobileredirect=true&amp;DefaultItemOpen=1</t>
  </si>
  <si>
    <t>A234</t>
  </si>
  <si>
    <t>Mentee Action Items - Qarmatek (Ashesh D. Shah).docx</t>
  </si>
  <si>
    <t>https://wadhwanifoundation-my.sharepoint.com/personal/accelerate_wadhwanifoundation_org/_layouts/15/viewer.aspx?sourcedoc={0a71b5ba-b543-4642-a011-a32510070f9e}</t>
  </si>
  <si>
    <t>https://wadhwanifoundation-my.sharepoint.com/personal/vaibhav_mattas_wadhwanifoundation_org/_layouts/15/Doc.aspx?sourcedoc=%7BA1C74437-E250-4932-8F0C-07DF7799C82F%7D&amp;file=Expert%20Connect%203%20_%20Qarmatek%20x%20Wadhwani%20Accelerate.docx&amp;action=default&amp;mobileredirect=true&amp;DefaultItemOpen=1</t>
  </si>
  <si>
    <t>A235</t>
  </si>
  <si>
    <t>Torchit</t>
  </si>
  <si>
    <t>A237</t>
  </si>
  <si>
    <t>Vastra App</t>
  </si>
  <si>
    <t xml:space="preserve">Siddhartha Kathpalia </t>
  </si>
  <si>
    <t>Support to build a scalable B2B SaaS marketing and branding engine that complements the feet-on-street model and improves inbound lead flow across textile clusters.</t>
  </si>
  <si>
    <t>Mentee Action Items - Vastra App (Siddhartha Kathpalia).docx</t>
  </si>
  <si>
    <t>Mentor Brief - Vastra App (Siddhartha Kathpalia).docx</t>
  </si>
  <si>
    <t>https://wadhwanifoundation-my.sharepoint.com/:v:/g/personal/accelerate_wadhwanifoundation_org/IQCap8nC28gUSYIugmV5soKLAaC9PZZ24wFZU8Cs_W9NqNA?e=L3dM3W&amp;nav=eyJyZWZlcnJhbEluZm8iOnsicmVmZXJyYWxBcHAiOiJTdHJlYW1XZWJBcHAiLCJyZWZlcnJhbFZpZXciOiJTaGFyZURpYWxvZy1MaW5rIiwicmVmZXJyYWxBcHBQbGF0Zm9ybSI6IldlYiIsInJlZmVycmFsTW9kZSI6InZpZXcifX0%3D</t>
  </si>
  <si>
    <t>https://wadhwanifoundation-my.sharepoint.com/personal/vaibhav_mattas_wadhwanifoundation_org/_layouts/15/Doc.aspx?sourcedoc=%7BE0F85605-7132-41FB-A586-15472321A6FB%7D&amp;file=Expert%20Connect%201%20_%20Vastra%20App%20x%20Wadhwani%20Accelerate.docx&amp;action=default&amp;mobileredirect=true&amp;DefaultItemOpen=1</t>
  </si>
  <si>
    <t>17-Apr-2026: Sent Feedback form
16-Apr-2026: Asked Shruti Modi about founder details
6-Mar-2026: Handed over to Shudhanshu
17-Feb-2026: Asked the program team about the founder's details</t>
  </si>
  <si>
    <t>A240</t>
  </si>
  <si>
    <t>Expertise in sales-force management systems to train, monitor, and scale large distributed FOS teams city by city.</t>
  </si>
  <si>
    <t>Mentee Action Items - Vastra App (Anant Sood).docx</t>
  </si>
  <si>
    <t>Mentor Brief - Vastra App (Anant Sood).docx</t>
  </si>
  <si>
    <t>https://wadhwanifoundation-my.sharepoint.com/personal/accelerate_wadhwanifoundation_org/_layouts/15/viewer.aspx?sourcedoc={e4f8193a-fdc5-4959-8bce-984fff137efc}</t>
  </si>
  <si>
    <t>https://wadhwanifoundation-my.sharepoint.com/personal/vaibhav_mattas_wadhwanifoundation_org/_layouts/15/Doc.aspx?sourcedoc=%7B1137ED2F-4F5E-42F1-A3F7-0DFB2058E41D%7D&amp;file=Expert%20Connect%202%20_%20Vastra%20App%20x%20Wadhwani%20Accelerate.docx&amp;action=default&amp;mobileredirect=true&amp;DefaultItemOpen=1</t>
  </si>
  <si>
    <t>A244</t>
  </si>
  <si>
    <t>Padcare Labs</t>
  </si>
  <si>
    <t>Mohanakrishnan P</t>
  </si>
  <si>
    <t>"GTM &amp; Pricing Strategy Expert (Urban Services)
To refine housing-society GTM channels, optimize pricing models (₹1,000 per pickup + ₹/kg), and drive vertical scaling within RWAs and gated communities."</t>
  </si>
  <si>
    <t>Mentee Action Items - Padcare Labs (Mohanakrishnan P).docx</t>
  </si>
  <si>
    <t>Mentor Brief - Padcare Labs (Mohanakrishnan P).docx</t>
  </si>
  <si>
    <t>https://wadhwanifoundation-my.sharepoint.com/personal/accelerate_wadhwanifoundation_org/_layouts/15/viewer.aspx?sourcedoc={bdb94b16-f9d8-4aa4-9c4e-386d47b20851}</t>
  </si>
  <si>
    <t>https://wadhwanifoundation-my.sharepoint.com/personal/vaibhav_mattas_wadhwanifoundation_org/_layouts/15/Doc.aspx?sourcedoc=%7B793A2BE1-5139-46E1-8FFF-1C23AC996FAF%7D&amp;file=Expert%20Connect%201%20_%20Padcare%20Labs%20x%20Wadhwani%20Accelerate.docx&amp;action=default&amp;mobileredirect=true&amp;DefaultItemOpen=1</t>
  </si>
  <si>
    <t>03-Feb-2026: Rejected the call
28-Jan-2026: Is on emergency leave will do by friday
27-Jan-2026: Sent the feedback form</t>
  </si>
  <si>
    <t>A247</t>
  </si>
  <si>
    <t xml:space="preserve">Hreedan Lifestyle </t>
  </si>
  <si>
    <t>"Finance &amp; Expansion Funding Advisor
To fix cash-flow gaps, build projections, optimize PMEGP/cluster funding, structure loans, and support expansion financing.
"</t>
  </si>
  <si>
    <t>Mentee Action Items - Hreedan Lifestyle (Srinivas Yanamandra).docx</t>
  </si>
  <si>
    <t>Mentor Brief - Hreedan Lifestyle (Srinivas Yanamandra).docx</t>
  </si>
  <si>
    <t>https://wadhwanifoundation-my.sharepoint.com/personal/accelerate_wadhwanifoundation_org/_layouts/15/viewer.aspx?sourcedoc={3054935f-a8f4-443d-bae3-c66c4e573466}</t>
  </si>
  <si>
    <t>https://wadhwanifoundation-my.sharepoint.com/personal/vaibhav_mattas_wadhwanifoundation_org/_layouts/15/Doc.aspx?sourcedoc=%7BB9A87112-E4E6-44FA-81C0-DCD5FEEB7F90%7D&amp;file=Expert%20Connect%201%20_%20Hreedan%20Lifestyle%20x%20Wadhwani%20Accelerate.docx&amp;action=default&amp;mobileredirect=true&amp;DefaultItemOpen=1</t>
  </si>
  <si>
    <t>Pending</t>
  </si>
  <si>
    <t xml:space="preserve">2-March-2026: HM yet to share the contact details
13-Feb-2026: Asked for the contact details </t>
  </si>
  <si>
    <t>A253</t>
  </si>
  <si>
    <t>Leap Info</t>
  </si>
  <si>
    <t>Umesh Uttamchandani</t>
  </si>
  <si>
    <t>"B2B Marketing &amp; Infrastructure Branding Expert
To move from niche visibility to structured outreach, improve digital presence, and position Leap Info credibly across infrastructure and enterprise buyers."</t>
  </si>
  <si>
    <t>Mentee Action Items - Leap Info (Umesh Uttamchandani).docx</t>
  </si>
  <si>
    <t>Mentor Brief - Leap Info (Umesh Uttamchandani).docx</t>
  </si>
  <si>
    <t>https://wadhwanifoundation-my.sharepoint.com/personal/accelerate_wadhwanifoundation_org/_layouts/15/viewer.aspx?sourcedoc={0ac34a74-9764-4e8f-a55a-1ffbea78cec0}</t>
  </si>
  <si>
    <t>https://wadhwanifoundation-my.sharepoint.com/personal/vaibhav_mattas_wadhwanifoundation_org/_layouts/15/Doc.aspx?sourcedoc=%7BE520159F-A1FD-4863-A7AD-BF8EAB0A1153%7D&amp;file=Expert%20Connect%201%20_%20Leap%20Info%20x%20Wadhwani%20Accelerate.docx&amp;action=default&amp;mobileredirect=true&amp;DefaultItemOpen=1</t>
  </si>
  <si>
    <t>A254</t>
  </si>
  <si>
    <t>Dr. Naman Agarwal</t>
  </si>
  <si>
    <t>"IP, Production &amp; System Integration Advisor
To support IP protection, production strategy, and engagement with system integrators for larger enterprise and infrastructure deployments."</t>
  </si>
  <si>
    <t>Mentee Action Items - Leap Info (Dr. Naman Agarwal).docx</t>
  </si>
  <si>
    <t>https://wadhwanifoundation-my.sharepoint.com/:w:/g/personal/vaibhav_mattas_wadhwanifoundation_org/IQCzH19NdadMRKzXKW6v9Nm6AbE0za74SmwNQCzmSHJgydg?e=CxwDh4</t>
  </si>
  <si>
    <t>https://wadhwanifoundation-my.sharepoint.com/personal/accelerate_wadhwanifoundation_org/_layouts/15/viewer.aspx?sourcedoc={3cf9bfd6-0e39-4628-8f7b-6509057124cf}</t>
  </si>
  <si>
    <t>https://wadhwanifoundation-my.sharepoint.com/personal/vaibhav_mattas_wadhwanifoundation_org/_layouts/15/Doc.aspx?sourcedoc=%7B51C508BF-A047-4C92-A12B-8DDB9BA6C3A0%7D&amp;file=Expert%20Connect%202%20_%20Leap%20Info%20x%20Wadhwani%20Accelerate.docx&amp;action=default&amp;mobileredirect=true&amp;DefaultItemOpen=1</t>
  </si>
  <si>
    <t>A256</t>
  </si>
  <si>
    <t>Tikitoro</t>
  </si>
  <si>
    <t>Shridhar N Upadhye</t>
  </si>
  <si>
    <t>Leadership Scaling: Fill second-level leadership gaps to avoid founder bottleneck, build loyalty/community programs, and granular data dashboards for decisions.</t>
  </si>
  <si>
    <t>https://wadhwanifoundation-my.sharepoint.com/:w:/g/personal/vaibhav_mattas_wadhwanifoundation_org/IQDIQSuDFxHoSoWO0OcwPs1DAXMjZguHynvd_4HslR_x_oE?e=7h1DXB</t>
  </si>
  <si>
    <t>https://wadhwanifoundation-my.sharepoint.com/:w:/g/personal/vaibhav_mattas_wadhwanifoundation_org/IQDnykQjLrDqS5hBwwuqeY4NASXGG4wuQVGhyQKX2t2XA5Y?e=alNrZg</t>
  </si>
  <si>
    <t>https://wadhwanifoundation-my.sharepoint.com/:v:/g/personal/accelerate_wadhwanifoundation_org/IQDlGbc8SO1ESInkIFZAwv1rAcv1C--JzUuqrpbPC3qW99E?e=xTXod2&amp;nav=eyJyZWZlcnJhbEluZm8iOnsicmVmZXJyYWxBcHAiOiJTdHJlYW1XZWJBcHAiLCJyZWZlcnJhbFZpZXciOiJTaGFyZURpYWxvZy1MaW5rIiwicmVmZXJyYWxBcHBQbGF0Zm9ybSI6IldlYiIsInJlZmVycmFsTW9kZSI6InZpZXcifX0%3D</t>
  </si>
  <si>
    <t>https://wadhwanifoundation-my.sharepoint.com/personal/vaibhav_mattas_wadhwanifoundation_org/_layouts/15/Doc.aspx?sourcedoc=%7BDE756B6E-801C-4015-9596-594C05599706%7D&amp;file=Expert%20Connect%201%20_%20Tikitoro%20x%20Wadhwani%20Accelerate%20(1).docx&amp;action=default&amp;mobileredirect=true&amp;DefaultItemOpen=1</t>
  </si>
  <si>
    <t>18-mar-2026: Filled the feedback</t>
  </si>
  <si>
    <t>A257</t>
  </si>
  <si>
    <t>Gaurav Bansal</t>
  </si>
  <si>
    <t>Operational Structure: Design scalable ops framework to match growth pace, including team scaling from fractional leaders (e.g., CGO/CBO/R&amp;D) to full-time hires and process standardization.</t>
  </si>
  <si>
    <t>https://wadhwanifoundation-my.sharepoint.com/:w:/g/personal/vaibhav_mattas_wadhwanifoundation_org/IQBMGkgmejc3SZmZfVZ6JTPTAZOdotRUKTLBSdInewZiNBw?e=To6nPZ</t>
  </si>
  <si>
    <t>https://wadhwanifoundation-my.sharepoint.com/:w:/g/personal/vaibhav_mattas_wadhwanifoundation_org/IQCCIvIYFaAwRbnomGR5vwfnAd495Y_Snx3XrGey-CWQfSM?e=mGsTyK</t>
  </si>
  <si>
    <t>https://wadhwanifoundation-my.sharepoint.com/personal/accelerate_wadhwanifoundation_org/_layouts/15/viewer.aspx?sourcedoc={82e0b7d1-4dab-433f-9910-3c2c74ceda1c}</t>
  </si>
  <si>
    <t>https://wadhwanifoundation-my.sharepoint.com/personal/vaibhav_mattas_wadhwanifoundation_org/_layouts/15/Doc.aspx?sourcedoc=%7B478FC1BF-DC0A-46EE-B68B-22ED2BAE5F8D%7D&amp;file=Expert%20Connect%202%20_%20Tikitoro%20x%20Wadhwani%20Accelerate%20(1).docx&amp;action=default&amp;mobileredirect=true&amp;DefaultItemOpen=1</t>
  </si>
  <si>
    <t>20-Mar-2026: Filled the feedback</t>
  </si>
  <si>
    <t>A258</t>
  </si>
  <si>
    <t>Business Strategy: Refine 5-10 year vision, GTM/sales/marketing optimization for 100 Cr ARR (profitable), leveraging Shark Tank momentum without deep discounts.</t>
  </si>
  <si>
    <t>https://wadhwanifoundation-my.sharepoint.com/:w:/g/personal/vaibhav_mattas_wadhwanifoundation_org/IQAvAuZhOd_9T4BsP2omVSmOAQnwj4bx6mwAtPtXJ1GHkOw?e=pDfcjm</t>
  </si>
  <si>
    <t>https://wadhwanifoundation-my.sharepoint.com/:w:/g/personal/vaibhav_mattas_wadhwanifoundation_org/IQATz4hiHk6aSJudtF6vPYtWAc8Kwt9NQJqhVcLKyHB2FdE?e=ZFuqCb</t>
  </si>
  <si>
    <t>https://wadhwanifoundation-my.sharepoint.com/personal/accelerate_wadhwanifoundation_org/_layouts/15/viewer.aspx?sourcedoc={e60b8f84-cf86-4109-83e9-350631f58f1d}</t>
  </si>
  <si>
    <t>https://wadhwanifoundation-my.sharepoint.com/personal/vaibhav_mattas_wadhwanifoundation_org/_layouts/15/Doc.aspx?sourcedoc=%7B68A2DC3B-0E0A-4E5E-B0ED-A758D5A1BD3E%7D&amp;file=Expert%20Connect%203%20_%20Tikitoro%20x%20Wadhwani%20Accelerate%20(1).docx&amp;action=default&amp;mobileredirect=true&amp;DefaultItemOpen=1</t>
  </si>
  <si>
    <t>31-Mar-2026: Didn't received the call
27-Mar-2026: Founder said she will fill by tomorrow 
26-March-2026: Sent the feedback form</t>
  </si>
  <si>
    <t>A261</t>
  </si>
  <si>
    <t>Bebe Burp</t>
  </si>
  <si>
    <t>Bharat Hudadalli</t>
  </si>
  <si>
    <t>Support on Amazon and Quick Commerce scaling, including ROAS optimization, category insights, and inventory planning.</t>
  </si>
  <si>
    <t>https://wadhwanifoundation-my.sharepoint.com/:w:/g/personal/vaibhav_mattas_wadhwanifoundation_org/IQA8cn0ETyO0QLOF2z4tmBOeAfbAMeEPAhl5-XFvTvvFSgU?e=Be0izX</t>
  </si>
  <si>
    <t>https://wadhwanifoundation-my.sharepoint.com/:w:/g/personal/vaibhav_mattas_wadhwanifoundation_org/IQCHA9duuVX9S5I5mL2DyeI6AcS7aBxgGAj05Dc821L2GOM?e=gK25VG</t>
  </si>
  <si>
    <t>https://wadhwanifoundation-my.sharepoint.com/personal/accelerate_wadhwanifoundation_org/_layouts/15/viewer.aspx?sourcedoc={414747d1-3ae7-42e2-b01a-f61a36b43eeb}</t>
  </si>
  <si>
    <t>https://wadhwanifoundation-my.sharepoint.com/personal/vaibhav_mattas_wadhwanifoundation_org/_layouts/15/Doc.aspx?sourcedoc=%7BB0E1E151-19FE-4BFF-9272-27EB663F8C4F%7D&amp;file=Expert%20Connect%201%20_%20Bebe%20Burp%20x%20Wadhwani%20Accelerate%20(1).docx&amp;action=default&amp;mobileredirect=true&amp;DefaultItemOpen=1</t>
  </si>
  <si>
    <t xml:space="preserve">10-Mar-2026: Sent the feedback form </t>
  </si>
  <si>
    <t>A262</t>
  </si>
  <si>
    <t xml:space="preserve">Sivesh Kumar	</t>
  </si>
  <si>
    <t>Expertise in brand building, influencer-led growth, and content/SEO for long-term marketing efficiency.</t>
  </si>
  <si>
    <t>https://wadhwanifoundation-my.sharepoint.com/:w:/g/personal/vaibhav_mattas_wadhwanifoundation_org/IQBSBozbK9BgQ7Km_y9N8-gYAQkORbTnL1rFyHpBID8r_PY?e=C818au</t>
  </si>
  <si>
    <t>https://wadhwanifoundation-my.sharepoint.com/:w:/g/personal/vaibhav_mattas_wadhwanifoundation_org/IQDXyEG1S6XBQb7pNJknwXhgAWUMhsVzQomKzICDSEMiNzI?e=VPugcL</t>
  </si>
  <si>
    <t>https://wadhwanifoundation-my.sharepoint.com/personal/accelerate_wadhwanifoundation_org/_layouts/15/stream.aspx?id=%2Fpersonal%2Faccelerate%5Fwadhwanifoundation%5Forg%2FDocuments%2FRecordings%2FExpert%20Connect%202%20%20Bebe%C2%A0Burp%20x%20Wadhwani%20Accelerate%2D20260310%5F092851UTC%2DMeeting%20Recording%2Emp4&amp;referrer=StreamWebApp%2EWeb&amp;referrerScenario=AddressBarCopied%2Eview%2E453ac413%2D9a97%2D4e84%2D931f%2D1b07766d2551</t>
  </si>
  <si>
    <t>https://wadhwanifoundation-my.sharepoint.com/:w:/g/personal/vaibhav_mattas_wadhwanifoundation_org/IQCTQ7bcawd-SoHC7SiaQZh4AReSV-asb93-KHQSobteSZA?e=EZGc2Y</t>
  </si>
  <si>
    <t>A263</t>
  </si>
  <si>
    <t>https://wadhwanifoundation-my.sharepoint.com/:w:/g/personal/vaibhav_mattas_wadhwanifoundation_org/IQAvAuZhOd_9T4BsP2omVSmOAQnwj4bx6mwAtPtXJ1GHkOw?e=6NhyEm</t>
  </si>
  <si>
    <t>https://wadhwanifoundation-my.sharepoint.com/:w:/g/personal/vaibhav_mattas_wadhwanifoundation_org/IQB4v_Gc0t5mSa_Wux4Uxx4oAUj9mH5Qj97MVsI_UwhNKVI?e=yaxMGe</t>
  </si>
  <si>
    <t>https://wadhwanifoundation-my.sharepoint.com/personal/accelerate_wadhwanifoundation_org/_layouts/15/stream.aspx?id=%2Fpersonal%2Faccelerate%5Fwadhwanifoundation%5Forg%2FDocuments%2FRecordings%2FExpert%20Connect%203%20%20Bebe%20Burp%20x%20Wadhwani%20Accelerate%2D20260314%5F063248UTC%2DMeeting%20Recording%2Emp4&amp;referrer=StreamWebApp%2EWeb&amp;referrerScenario=AddressBarCopied%2Eview%2E004e9fe2%2D2cf5%2D47c8%2D867f%2D5eb8f481004a</t>
  </si>
  <si>
    <t>https://wadhwanifoundation-my.sharepoint.com/personal/vaibhav_mattas_wadhwanifoundation_org/_layouts/15/Doc.aspx?sourcedoc=%7BB5FD5442-0B6F-4ACE-BB5B-70569F161B5B%7D&amp;file=Expert%20Connect%203%20_%20Bebe%20Burp%20x%20Wadhwani%20Accelerate%20(1).docx&amp;action=default&amp;mobileredirect=true&amp;DefaultItemOpen=1</t>
  </si>
  <si>
    <t>16-Mar-2026: Sent the feedback to the venture</t>
  </si>
  <si>
    <t>A264</t>
  </si>
  <si>
    <t>Eximburg International</t>
  </si>
  <si>
    <t>Mentee Action Items - Eximburg International (Sriram Chidambaram).docx</t>
  </si>
  <si>
    <t>https://wadhwanifoundation-my.sharepoint.com/personal/accelerate_wadhwanifoundation_org/_layouts/15/viewer.aspx?sourcedoc={4b34e82b-62f3-4499-8355-713ddadf9a05}</t>
  </si>
  <si>
    <t>https://wadhwanifoundation-my.sharepoint.com/personal/vaibhav_mattas_wadhwanifoundation_org/_layouts/15/Doc.aspx?sourcedoc=%7BECCC3279-322F-4F62-95EB-376408D83B42%7D&amp;file=Expert%20Connect%204%20_%20Eximburg%20International%20x%20Wadhwani%20Accelerate%20(2).docx&amp;action=default&amp;mobileredirect=true&amp;DefaultItemOpen=1</t>
  </si>
  <si>
    <t>A265</t>
  </si>
  <si>
    <t>Kushagra Gupta</t>
  </si>
  <si>
    <t>Support on brand repositioning, surrogate marketing strategy, and reducing CAC while improving Amazon/quick commerce ROAS.</t>
  </si>
  <si>
    <t>https://wadhwanifoundation-my.sharepoint.com/:w:/g/personal/vaibhav_mattas_wadhwanifoundation_org/IQAqLCEZdtCAT5f0O5WUZAinAWYAdyRi6pfRM9g34G973HQ?e=ddKN4s</t>
  </si>
  <si>
    <t>https://wadhwanifoundation-my.sharepoint.com/:w:/g/personal/vaibhav_mattas_wadhwanifoundation_org/IQAqLCEZdtCAT5f0O5WUZAinAWYAdyRi6pfRM9g34G973HQ?e=LsfGHV</t>
  </si>
  <si>
    <t>https://wadhwanifoundation-my.sharepoint.com/personal/accelerate_wadhwanifoundation_org/_layouts/15/viewer.aspx?sourcedoc={2ab1a238-67d7-4455-baf8-1d76f28f2b27}</t>
  </si>
  <si>
    <t>13-Apr-2026: Called twice but mentor not answering calls
06-Apr-2026: Sent the feedback form</t>
  </si>
  <si>
    <t>A266</t>
  </si>
  <si>
    <t>InSyPay</t>
  </si>
  <si>
    <t>16-Apr-2026: Called twice but venture not answering</t>
  </si>
  <si>
    <t>A290</t>
  </si>
  <si>
    <t>Need inputs on financial due diligence, pitch deck review and some investors introduction</t>
  </si>
  <si>
    <t>https://wadhwanifoundation-my.sharepoint.com/:w:/g/personal/vaibhav_mattas_wadhwanifoundation_org/IQCwaOyebEtkQbsVYIDU7QLOAZhar9b85w4Aq0Ruacft0nQ?e=RckirE</t>
  </si>
  <si>
    <t>https://wadhwanifoundation-my.sharepoint.com/:w:/g/personal/vaibhav_mattas_wadhwanifoundation_org/IQDLg4mEUyfJRoUbhelxKu9kAZ8LJforK3Q_9pu-lGbfskY?e=CKKQC4</t>
  </si>
  <si>
    <t>https://wadhwanifoundation-my.sharepoint.com/personal/accelerate_wadhwanifoundation_org/_layouts/15/viewer.aspx?sourcedoc={6728e9ef-3a80-4352-bea4-fdd4e2abd231}</t>
  </si>
  <si>
    <t>https://wadhwanifoundation-my.sharepoint.com/personal/vaibhav_mattas_wadhwanifoundation_org/_layouts/15/Doc.aspx?sourcedoc=%7BDA3353B6-5E40-4730-ACE4-686DD5BA9B82%7D&amp;file=Expert%20Connect%202%20_%20Aeronero%C2%A0Solutions%20x%20Wadhwani%20Accelerate%20(1).docx&amp;action=default&amp;mobileredirect=true&amp;DefaultItemOpen=1</t>
  </si>
  <si>
    <t>11-Mar-2026: Will fill it today</t>
  </si>
  <si>
    <t>A293</t>
  </si>
  <si>
    <t>Bull AgriTech</t>
  </si>
  <si>
    <t>Shailendrasinh Rajput</t>
  </si>
  <si>
    <t>Expertise in warehouse SOPs, automation, and people/process optimization for rapid multi-location expansion.</t>
  </si>
  <si>
    <t>https://wadhwanifoundation-my.sharepoint.com/:w:/g/personal/vaibhav_mattas_wadhwanifoundation_org/IQCPaxMCDFulQ7LrZPqwmvDtAdWA4UUMQ7Ovk5a3waChkCw?e=YtfSKl</t>
  </si>
  <si>
    <t>https://wadhwanifoundation-my.sharepoint.com/:w:/g/personal/vaibhav_mattas_wadhwanifoundation_org/IQCPaxMCDFulQ7LrZPqwmvDtAdWA4UUMQ7Ovk5a3waChkCw?e=VSbjhB</t>
  </si>
  <si>
    <t>https://wadhwanifoundation-my.sharepoint.com/:v:/g/personal/accelerate_wadhwanifoundation_org/IQBNBRCNJGTYR7rzES-8W-zRAV_JjiRyV8XmJ3Rkg5OotwY?e=2mLVdz&amp;nav=eyJyZWZlcnJhbEluZm8iOnsicmVmZXJyYWxBcHAiOiJTdHJlYW1XZWJBcHAiLCJyZWZlcnJhbFZpZXciOiJTaGFyZURpYWxvZy1MaW5rIiwicmVmZXJyYWxBcHBQbGF0Zm9ybSI6IldlYiIsInJlZmVycmFsTW9kZSI6InZpZXcifX0%3D</t>
  </si>
  <si>
    <t>A297</t>
  </si>
  <si>
    <t>https://wadhwanifoundation-my.sharepoint.com/:w:/g/personal/vaibhav_mattas_wadhwanifoundation_org/IQDJ59xB4S-VT6rborRG6F7KARCr89opJ3RZafq9ReTDrAI?e=glsBql</t>
  </si>
  <si>
    <t>https://wadhwanifoundation-my.sharepoint.com/:w:/g/personal/vaibhav_mattas_wadhwanifoundation_org/IQB_Nh9-XigpSoj57Kkn2ATcAZUId9BMlvBaFIE-sRJXUcc?e=j9oIYn</t>
  </si>
  <si>
    <t>https://wadhwanifoundation-my.sharepoint.com/personal/accelerate_wadhwanifoundation_org/_layouts/15/viewer.aspx?sourcedoc={0fb01444-6c9a-48b6-8383-3299267e32f8}</t>
  </si>
  <si>
    <t>https://wadhwanifoundation-my.sharepoint.com/personal/vaibhav_mattas_wadhwanifoundation_org/_layouts/15/Doc.aspx?sourcedoc=%7B7FACB423-C9EE-4C28-A77B-D738FED4347D%7D&amp;file=Expert%20Connect%204%20_%20Tikitoro%20x%20Wadhwani%20Accelerate%20(1).docx&amp;action=default&amp;mobileredirect=true&amp;DefaultItemOpen=1</t>
  </si>
  <si>
    <t>27-Mar-2026: Sent the feedback form</t>
  </si>
  <si>
    <t>A299</t>
  </si>
  <si>
    <t>Svan Autotech</t>
  </si>
  <si>
    <t>https://wadhwanifoundation-my.sharepoint.com/:w:/g/personal/vaibhav_mattas_wadhwanifoundation_org/IQBzVWqnKWnFQLMOutaYSeLcAcVlt1QnlHs9WjxRalrpgSY?e=bCmHfp</t>
  </si>
  <si>
    <t>https://wadhwanifoundation-my.sharepoint.com/:v:/g/personal/accelerate_wadhwanifoundation_org/IQCculps4yvXRqwlR3eDVZHWASmMiyyWfW6ON8aIj5eQi5g?e=cktzPN&amp;nav=eyJyZWZlcnJhbEluZm8iOnsicmVmZXJyYWxBcHAiOiJTdHJlYW1XZWJBcHAiLCJyZWZlcnJhbFZpZXciOiJTaGFyZURpYWxvZy1MaW5rIiwicmVmZXJyYWxBcHBQbGF0Zm9ybSI6IldlYiIsInJlZmVycmFsTW9kZSI6InZpZXcifX0%3D</t>
  </si>
  <si>
    <t>https://wadhwanifoundation-my.sharepoint.com/:w:/g/personal/vaibhav_mattas_wadhwanifoundation_org/IQAdZs9t7AXJSJiuyScb8QNrAQAaCq6bzzE793_QcnCQFjk?e=ziFfm2</t>
  </si>
  <si>
    <t>https://wadhwanifoundation-my.sharepoint.com/:w:/g/personal/vaibhav_mattas_wadhwanifoundation_org/IQD3NLA1wX6xRouwlwfbT54NATC4y8hZWXcqrAh4GJNLdBI?e=NstK0F</t>
  </si>
  <si>
    <t>https://wadhwanifoundation-my.sharepoint.com/:x:/r/personal/accelerate_wadhwanifoundation_org/_layouts/15/doc2.aspx?action=edit&amp;sourcedoc=%7B5e806d0b-b05b-4163-9c44-a6519a6631cd%7D&amp;wdExp=TEAMS-TREATMENT&amp;web=1&amp;TeamsCID=9b687303-0a3c-4e7f-88ca-8b4844cfec7c&amp;xsdata=MDV8MDJ8fDU2OTI3MmE0ZDM3NDQ5ZjU5NmI1MDhkZWI0YWYxYTdlfDM4M2Q2Y2I3MGJhNDQ3OGU5MDc0NDE2ZDA4OWZiZWRjfDB8MHw2MzkxNDY4NjEyODk5NjkzMzN8VW5rbm93bnxWR1ZoYlhOVFpXTjFjbWwwZVZObGNuWnBZMlY4ZXlKRFFTSTZJbFJsWVcxelgwRlVVRk5sY25acFkyVmZVMUJQVEU5R0lpd2lWaUk2SWpBdU1DNHdNREF3SWl3aVVDSTZJbGRwYmpNeUlpd2lRVTRpT2lKUGRHaGxjaUlzSWxkVUlqb3hNWDA9fDF8TDJOb1lYUnpMekU1T2pjMFpUWmhabVUyTFRNeE1Ua3RORFU0WlMwNU9XVmxMV1l3TURoaU5URXhObU16T0Y5aE5tRmhNbUZtTXkweU5qQTJMVFF5WVRndFlUazNNaTA0TjJOaVpEa3dOREl6WkRKQWRXNXhMbWRpYkM1emNHRmpaWE12YldWemMyRm5aWE12TVRjM09UQTRPVE15Tmprd05nPT18OTcxYzY1YTAzMjI4NDk3MGZkNTYwOGRlYjRhZjFhN2R8YTE3NzNkMTJlODg5NDc1NGI1NDk1ZmUwNDZiNDk2MTQ%3D&amp;sdata=N1RVbVF5bHYyM01kZ2hjMkVYMFZJRmlZUG0yNVJTUkZ6bWRjT2xReTBkdz0%3D&amp;ovuser=383d6cb7-0ba4-478e-9074-416d089fbedc%2Cvaibhav.mattas%40wadhwanifoundation.org</t>
  </si>
  <si>
    <t>Invoice Status</t>
  </si>
  <si>
    <t>Invoice Shared by Mentor On</t>
  </si>
  <si>
    <t>Invoice Shared with Program Team On</t>
  </si>
  <si>
    <t>Approved by Program Team</t>
  </si>
  <si>
    <t>Invoice Shared with Finance Team On</t>
  </si>
  <si>
    <t>Paid On</t>
  </si>
  <si>
    <t>Invoice Number</t>
  </si>
  <si>
    <t>A300</t>
  </si>
  <si>
    <t>A301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</si>
</sst>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2" x14ac:knownFonts="1">
    <font>
      <sz val="11"/>
      <color theme="1"/>
      <name val="Calibri"/>
      <family val="2"/>
      <charset val="1"/>
    </font>
    <font>
      <u/>
      <sz val="11"/>
      <color theme="10"/>
      <name val="Calibri"/>
      <family val="2"/>
      <charset val="1"/>
    </font>
    <font>
      <sz val="10"/>
      <color theme="1"/>
      <name val="Calibri"/>
      <family val="2"/>
      <scheme val="minor"/>
    </font>
    <font>
      <sz val="10"/>
      <color theme="1"/>
      <name val="Calibri"/>
      <family val="2"/>
      <charset val="1"/>
    </font>
    <font>
      <sz val="10"/>
      <color rgb="FF4A3F36"/>
      <name val="Calibri"/>
      <family val="2"/>
      <charset val="1"/>
    </font>
    <font>
      <b/>
      <sz val="11"/>
      <color rgb="FFFFFFFF"/>
      <name val="Calibri"/>
      <family val="2"/>
      <charset val="1"/>
    </font>
    <font>
      <sz val="10"/>
      <color rgb="FF4A3F36"/>
      <name val="Calibri"/>
      <family val="2"/>
      <scheme val="minor"/>
    </font>
    <font>
      <sz val="10"/>
      <color rgb="FFFFFFFF"/>
      <name val="Calibri"/>
      <family val="2"/>
      <scheme val="minor"/>
    </font>
    <font>
      <b/>
      <sz val="11"/>
      <color theme="1"/>
      <name val="Calibri"/>
      <family val="2"/>
      <charset val="1"/>
    </font>
    <font>
      <u/>
      <sz val="10"/>
      <color theme="10"/>
      <name val="Calibri"/>
      <family val="2"/>
      <charset val="1"/>
    </font>
    <font>
      <sz val="8"/>
      <name val="Calibri"/>
      <family val="2"/>
      <charset val="1"/>
    </font>
    <font>
      <b/>
      <sz val="11"/>
      <color theme="1" tint="4.9989318521683403E-2"/>
      <name val="Calibri"/>
      <family val="2"/>
      <charset val="1"/>
    </font>
  </fonts>
  <fills count="6">
    <fill>
      <patternFill patternType="none"/>
    </fill>
    <fill>
      <patternFill patternType="gray125"/>
    </fill>
    <fill>
      <patternFill patternType="solid">
        <fgColor rgb="FF7B1818"/>
        <bgColor rgb="FF800000"/>
      </patternFill>
    </fill>
    <fill>
      <patternFill patternType="solid">
        <fgColor rgb="FFFFC000"/>
        <bgColor rgb="FF800000"/>
      </patternFill>
    </fill>
    <fill>
      <patternFill patternType="solid">
        <fgColor rgb="FFFFFF00"/>
        <bgColor rgb="FF800000"/>
      </patternFill>
    </fill>
    <fill>
      <patternFill patternType="solid">
        <fgColor theme="4" tint="-0.499984740745262"/>
        <bgColor rgb="FF800000"/>
      </patternFill>
    </fill>
  </fills>
  <borders count="2">
    <border>
      <left/>
      <right/>
      <top/>
      <bottom/>
      <diagonal/>
    </border>
    <border>
      <left/>
      <right/>
      <top style="thin">
        <color theme="5"/>
      </top>
      <bottom/>
      <diagonal/>
    </border>
  </borders>
  <cellStyleXfs count="2">
    <xf numFmtId="0" fontId="0" fillId="0" borderId="0"/>
    <xf numFmtId="0" fontId="1" fillId="0" borderId="0" applyNumberFormat="0" applyFill="0" applyBorder="0" applyAlignment="0" applyProtection="0"/>
  </cellStyleXfs>
  <cellXfs count="45">
    <xf numFmtId="0" fontId="0" fillId="0" borderId="0" xfId="0"/>
    <xf numFmtId="0" fontId="5" fillId="2" borderId="0" xfId="0" applyFont="1" applyFill="1" applyAlignment="1">
      <alignment horizontal="center" vertical="center" wrapText="1"/>
    </xf>
    <xf numFmtId="0" fontId="5" fillId="2" borderId="0" xfId="0" applyFont="1" applyFill="1" applyAlignment="1">
      <alignment horizontal="left" vertical="center" wrapText="1"/>
    </xf>
    <xf numFmtId="0" fontId="8" fillId="3" borderId="0" xfId="0" applyFont="1" applyFill="1" applyAlignment="1">
      <alignment horizontal="center" vertical="center" wrapText="1"/>
    </xf>
    <xf numFmtId="0" fontId="2" fillId="0" borderId="0" xfId="0" applyFont="1"/>
    <xf numFmtId="164" fontId="4" fillId="0" borderId="0" xfId="0" applyNumberFormat="1" applyFont="1" applyAlignment="1">
      <alignment vertical="top" wrapText="1"/>
    </xf>
    <xf numFmtId="0" fontId="3" fillId="0" borderId="0" xfId="0" applyFont="1" applyAlignment="1">
      <alignment vertical="top" wrapText="1"/>
    </xf>
    <xf numFmtId="0" fontId="6" fillId="0" borderId="0" xfId="0" applyFont="1" applyAlignment="1">
      <alignment vertical="top" wrapText="1"/>
    </xf>
    <xf numFmtId="0" fontId="3" fillId="0" borderId="0" xfId="0" applyFont="1" applyAlignment="1">
      <alignment wrapText="1"/>
    </xf>
    <xf numFmtId="0" fontId="2" fillId="0" borderId="0" xfId="0" applyFont="1" applyAlignment="1">
      <alignment horizontal="left" wrapText="1"/>
    </xf>
    <xf numFmtId="0" fontId="4" fillId="0" borderId="0" xfId="0" applyFont="1" applyAlignment="1">
      <alignment vertical="top" wrapText="1"/>
    </xf>
    <xf numFmtId="0" fontId="2" fillId="0" borderId="0" xfId="0" applyFont="1" applyAlignment="1">
      <alignment horizontal="left" vertical="top" wrapText="1"/>
    </xf>
    <xf numFmtId="0" fontId="9" fillId="0" borderId="0" xfId="1" applyFont="1" applyBorder="1" applyAlignment="1">
      <alignment vertical="top" wrapText="1"/>
    </xf>
    <xf numFmtId="0" fontId="0" fillId="0" borderId="0" xfId="0" applyAlignment="1">
      <alignment horizontal="left" wrapText="1"/>
    </xf>
    <xf numFmtId="0" fontId="3" fillId="0" borderId="0" xfId="0" applyFont="1" applyAlignment="1">
      <alignment horizontal="left" vertical="top" wrapText="1"/>
    </xf>
    <xf numFmtId="0" fontId="0" fillId="0" borderId="0" xfId="0" applyAlignment="1">
      <alignment horizontal="left" vertical="top" wrapText="1"/>
    </xf>
    <xf numFmtId="0" fontId="1" fillId="0" borderId="0" xfId="1" applyBorder="1" applyAlignment="1">
      <alignment horizontal="left" vertical="top" wrapText="1"/>
    </xf>
    <xf numFmtId="0" fontId="1" fillId="0" borderId="0" xfId="1" applyBorder="1" applyAlignment="1">
      <alignment wrapText="1"/>
    </xf>
    <xf numFmtId="0" fontId="0" fillId="0" borderId="0" xfId="0" applyAlignment="1">
      <alignment horizontal="center"/>
    </xf>
    <xf numFmtId="0" fontId="0" fillId="0" borderId="0" xfId="0" applyAlignment="1">
      <alignment vertical="top"/>
    </xf>
    <xf numFmtId="0" fontId="1" fillId="0" borderId="0" xfId="1" applyBorder="1" applyAlignment="1">
      <alignment vertical="top" wrapText="1"/>
    </xf>
    <xf numFmtId="0" fontId="7" fillId="2" borderId="0" xfId="0" applyFont="1" applyFill="1" applyAlignment="1">
      <alignment horizontal="left" vertical="center" wrapText="1"/>
    </xf>
    <xf numFmtId="0" fontId="11" fillId="4" borderId="0" xfId="0" applyFont="1" applyFill="1" applyAlignment="1">
      <alignment horizontal="center" vertical="top" wrapText="1"/>
    </xf>
    <xf numFmtId="164" fontId="6" fillId="0" borderId="0" xfId="0" applyNumberFormat="1" applyFont="1" applyAlignment="1">
      <alignment vertical="top" wrapText="1"/>
    </xf>
    <xf numFmtId="0" fontId="0" fillId="0" borderId="0" xfId="0" applyAlignment="1">
      <alignment horizontal="center" vertical="center" wrapText="1"/>
    </xf>
    <xf numFmtId="0" fontId="2" fillId="0" borderId="0" xfId="0" applyFont="1" applyAlignment="1">
      <alignment wrapText="1"/>
    </xf>
    <xf numFmtId="1" fontId="2" fillId="0" borderId="0" xfId="0" applyNumberFormat="1" applyFont="1" applyAlignment="1">
      <alignment wrapText="1"/>
    </xf>
    <xf numFmtId="0" fontId="0" fillId="0" borderId="0" xfId="0" applyAlignment="1">
      <alignment wrapText="1"/>
    </xf>
    <xf numFmtId="1" fontId="0" fillId="0" borderId="0" xfId="0" applyNumberFormat="1" applyAlignment="1">
      <alignment wrapText="1"/>
    </xf>
    <xf numFmtId="0" fontId="0" fillId="0" borderId="0" xfId="0" applyAlignment="1">
      <alignment horizontal="center" wrapText="1"/>
    </xf>
    <xf numFmtId="0" fontId="0" fillId="0" borderId="0" xfId="0" applyAlignment="1">
      <alignment vertical="top" wrapText="1"/>
    </xf>
    <xf numFmtId="0" fontId="9" fillId="0" borderId="1" xfId="1" applyFont="1" applyBorder="1" applyAlignment="1">
      <alignment vertical="top" wrapText="1"/>
    </xf>
    <xf numFmtId="0" fontId="1" fillId="0" borderId="1" xfId="1" applyBorder="1" applyAlignment="1">
      <alignment horizontal="left" vertical="top" wrapText="1"/>
    </xf>
    <xf numFmtId="0" fontId="1" fillId="0" borderId="1" xfId="1" applyBorder="1" applyAlignment="1">
      <alignment wrapText="1"/>
    </xf>
    <xf numFmtId="0" fontId="1" fillId="0" borderId="1" xfId="1" applyBorder="1" applyAlignment="1">
      <alignment vertical="top" wrapText="1"/>
    </xf>
    <xf numFmtId="0" fontId="1" fillId="0" borderId="0" xfId="1" applyAlignment="1">
      <alignment vertical="top" wrapText="1"/>
    </xf>
    <xf numFmtId="0" fontId="1" fillId="0" borderId="0" xfId="1" applyAlignment="1">
      <alignment horizontal="left" wrapText="1"/>
    </xf>
    <xf numFmtId="0" fontId="1" fillId="0" borderId="0" xfId="1"/>
    <xf numFmtId="0" fontId="1" fillId="0" borderId="0" xfId="1" applyAlignment="1">
      <alignment wrapText="1"/>
    </xf>
    <xf numFmtId="0" fontId="5" fillId="5" borderId="0" xfId="0" applyFont="1" applyFill="1" applyAlignment="1">
      <alignment horizontal="center" vertical="center" wrapText="1"/>
    </xf>
    <xf numFmtId="164" fontId="2" fillId="0" borderId="0" xfId="0" applyNumberFormat="1" applyFont="1" applyAlignment="1">
      <alignment wrapText="1"/>
    </xf>
    <xf numFmtId="164" fontId="0" fillId="0" borderId="0" xfId="0" applyNumberFormat="1" applyAlignment="1">
      <alignment wrapText="1"/>
    </xf>
    <xf numFmtId="0" fontId="0" fillId="0" borderId="0" xfId="0" pivotButton="1"/>
    <xf numFmtId="14" fontId="0" fillId="0" borderId="0" xfId="0" applyNumberFormat="1" applyAlignment="1">
      <alignment horizontal="left"/>
    </xf>
    <xf numFmtId="0" fontId="0" fillId="0" borderId="0" xfId="0" applyAlignment="1">
      <alignment horizontal="left"/>
    </xf>
  </cellXfs>
  <cellStyles count="2">
    <cellStyle name="Hyperlink" xfId="1" builtinId="8"/>
    <cellStyle name="Normal" xfId="0" builtinId="0"/>
  </cellStyles>
  <dxfs count="37">
    <dxf>
      <numFmt numFmtId="164" formatCode="dd/mmm/yyyy"/>
      <alignment wrapText="1"/>
    </dxf>
    <dxf>
      <numFmt numFmtId="164" formatCode="dd/mmm/yyyy"/>
      <alignment wrapText="1"/>
    </dxf>
    <dxf>
      <numFmt numFmtId="0" formatCode="General"/>
      <alignment wrapText="1"/>
    </dxf>
    <dxf>
      <numFmt numFmtId="0" formatCode="General"/>
      <alignment wrapText="1"/>
    </dxf>
    <dxf>
      <numFmt numFmtId="1" formatCode="0"/>
      <alignment wrapText="1"/>
    </dxf>
    <dxf>
      <numFmt numFmtId="0" formatCode="General"/>
      <alignment wrapText="1"/>
    </dxf>
    <dxf>
      <font>
        <b val="0"/>
        <i val="0"/>
        <strike val="0"/>
        <condense val="0"/>
        <extend val="0"/>
        <outline val="0"/>
        <shadow val="0"/>
        <u val="none"/>
        <vertAlign val="baseline"/>
        <sz val="10"/>
        <color theme="1"/>
        <name val="Calibri"/>
        <family val="2"/>
        <scheme val="minor"/>
      </font>
      <numFmt numFmtId="0" formatCode="General"/>
      <alignment horizontal="left" vertical="bottom" textRotation="0" wrapText="1" indent="0" justifyLastLine="0" shrinkToFit="0" readingOrder="0"/>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alignment wrapText="1"/>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4A3F36"/>
        <name val="Calibri"/>
        <family val="2"/>
        <charset val="1"/>
        <scheme val="none"/>
      </font>
      <alignment horizontal="general" vertical="top" textRotation="0" wrapText="1" indent="0" justifyLastLine="0" shrinkToFit="0" readingOrder="0"/>
    </dxf>
    <dxf>
      <alignment horizontal="center" vertical="bottom" textRotation="0" wrapText="1" indent="0" justifyLastLine="0" shrinkToFit="0" readingOrder="0"/>
    </dxf>
    <dxf>
      <alignment wrapText="1"/>
    </dxf>
    <dxf>
      <font>
        <b val="0"/>
        <i val="0"/>
        <strike val="0"/>
        <condense val="0"/>
        <extend val="0"/>
        <outline val="0"/>
        <shadow val="0"/>
        <u val="none"/>
        <vertAlign val="baseline"/>
        <sz val="10"/>
        <color rgb="FF4A3F36"/>
        <name val="Calibri"/>
        <family val="2"/>
        <scheme val="minor"/>
      </font>
      <numFmt numFmtId="164" formatCode="dd/mmm/yyyy"/>
      <alignment horizontal="general" vertical="top" textRotation="0" wrapText="1" indent="0" justifyLastLine="0" shrinkToFit="0" readingOrder="0"/>
    </dxf>
    <dxf>
      <font>
        <b val="0"/>
        <i val="0"/>
        <strike val="0"/>
        <condense val="0"/>
        <extend val="0"/>
        <outline val="0"/>
        <shadow val="0"/>
        <u val="none"/>
        <vertAlign val="baseline"/>
        <sz val="10"/>
        <color rgb="FF4A3F36"/>
        <name val="Calibri"/>
        <family val="2"/>
        <charset val="1"/>
        <scheme val="none"/>
      </font>
      <numFmt numFmtId="164" formatCode="dd/mmm/yyyy"/>
      <alignment horizontal="general" vertical="top" textRotation="0" wrapText="1" indent="0" justifyLastLine="0" shrinkToFit="0" readingOrder="0"/>
    </dxf>
    <dxf>
      <font>
        <b val="0"/>
        <i val="0"/>
        <strike val="0"/>
        <condense val="0"/>
        <extend val="0"/>
        <outline val="0"/>
        <shadow val="0"/>
        <u val="none"/>
        <vertAlign val="baseline"/>
        <sz val="10"/>
        <color rgb="FF4A3F36"/>
        <name val="Calibri"/>
        <family val="2"/>
        <charset val="1"/>
        <scheme val="none"/>
      </font>
      <numFmt numFmtId="164" formatCode="dd/mmm/yyyy"/>
      <alignment horizontal="general" vertical="top" textRotation="0" wrapText="1" indent="0" justifyLastLine="0" shrinkToFit="0" readingOrder="0"/>
    </dxf>
    <dxf>
      <font>
        <b val="0"/>
        <i val="0"/>
        <strike val="0"/>
        <condense val="0"/>
        <extend val="0"/>
        <outline val="0"/>
        <shadow val="0"/>
        <u val="none"/>
        <vertAlign val="baseline"/>
        <sz val="10"/>
        <color rgb="FF4A3F36"/>
        <name val="Calibri"/>
        <family val="2"/>
        <charset val="1"/>
        <scheme val="none"/>
      </font>
      <numFmt numFmtId="164" formatCode="dd/mmm/yyyy"/>
      <alignment horizontal="general" vertical="top" textRotation="0" wrapText="1" indent="0" justifyLastLine="0" shrinkToFit="0" readingOrder="0"/>
    </dxf>
    <dxf>
      <font>
        <b val="0"/>
        <i val="0"/>
        <strike val="0"/>
        <condense val="0"/>
        <extend val="0"/>
        <outline val="0"/>
        <shadow val="0"/>
        <u val="none"/>
        <vertAlign val="baseline"/>
        <sz val="10"/>
        <color rgb="FF4A3F36"/>
        <name val="Calibri"/>
        <family val="2"/>
        <charset val="1"/>
        <scheme val="none"/>
      </font>
      <numFmt numFmtId="164" formatCode="dd/mmm/yyyy"/>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charset val="1"/>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family val="2"/>
        <charset val="1"/>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theme="1"/>
        <name val="Calibri"/>
        <family val="2"/>
        <charset val="1"/>
        <scheme val="none"/>
      </font>
      <numFmt numFmtId="0" formatCode="General"/>
      <alignment wrapText="1"/>
    </dxf>
    <dxf>
      <font>
        <b val="0"/>
        <i val="0"/>
        <strike val="0"/>
        <condense val="0"/>
        <extend val="0"/>
        <outline val="0"/>
        <shadow val="0"/>
        <u val="none"/>
        <vertAlign val="baseline"/>
        <sz val="10"/>
        <color rgb="FF4A3F36"/>
        <name val="Calibri"/>
        <family val="2"/>
        <scheme val="minor"/>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charset val="1"/>
        <scheme val="none"/>
      </font>
      <numFmt numFmtId="0" formatCode="General"/>
      <alignment horizontal="general" vertical="top" textRotation="0" wrapText="1" indent="0" justifyLastLine="0" shrinkToFit="0" readingOrder="0"/>
    </dxf>
    <dxf>
      <alignment wrapText="1"/>
    </dxf>
    <dxf>
      <alignment wrapText="1"/>
    </dxf>
    <dxf>
      <font>
        <b/>
        <i val="0"/>
        <strike val="0"/>
        <condense val="0"/>
        <extend val="0"/>
        <outline val="0"/>
        <shadow val="0"/>
        <u val="none"/>
        <vertAlign val="baseline"/>
        <sz val="11"/>
        <color rgb="FFFFFFFF"/>
        <name val="Calibri"/>
        <family val="2"/>
        <charset val="1"/>
        <scheme val="none"/>
      </font>
      <fill>
        <patternFill patternType="solid">
          <fgColor rgb="FF800000"/>
          <bgColor rgb="FF7B1818"/>
        </patternFill>
      </fill>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B1818"/>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2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3F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xcel Services" refreshedDate="46154.520613657405" backgroundQuery="1" createdVersion="8" refreshedVersion="8" minRefreshableVersion="3" recordCount="0" supportSubquery="1" supportAdvancedDrill="1" xr:uid="{540CAAB5-0FA1-4C41-85D1-A4B1B41697D9}">
  <cacheSource type="external" connectionId="1"/>
  <cacheFields count="5">
    <cacheField name="[Measures].[Count of Venture Name]" caption="Count of Venture Name" numFmtId="0" hierarchy="44" level="32767"/>
    <cacheField name="[Table1].[Preferred Mentor Selected On (Week)].[Preferred Mentor Selected On (Week)]" caption="Preferred Mentor Selected On (Week)" numFmtId="0" hierarchy="33" level="1">
      <sharedItems count="1">
        <s v="13-Apr-2026"/>
      </sharedItems>
    </cacheField>
    <cacheField name="[Table1].[Transcript].[Transcript]" caption="Transcript" numFmtId="0" hierarchy="19" level="1">
      <sharedItems containsSemiMixedTypes="0" containsNonDate="0" containsString="0"/>
    </cacheField>
    <cacheField name="[Table1].[Recording].[Recording]" caption="Recording" numFmtId="0" hierarchy="18" level="1">
      <sharedItems containsSemiMixedTypes="0" containsNonDate="0" containsString="0"/>
    </cacheField>
    <cacheField name="[Table1].[Meeting Date (Week)].[Meeting Date (Week)]" caption="Meeting Date (Week)" numFmtId="0" hierarchy="34" level="1">
      <sharedItems containsSemiMixedTypes="0" containsNonDate="0" containsDate="1" containsString="0" minDate="2025-08-25T00:00:00" maxDate="2026-04-14T00:00:00" count="30">
        <d v="2025-08-25T00:00:00"/>
        <d v="2025-09-01T00:00:00"/>
        <d v="2025-09-15T00:00:00"/>
        <d v="2025-09-22T00:00:00"/>
        <d v="2025-10-06T00:00:00"/>
        <d v="2025-10-13T00:00:00"/>
        <d v="2025-10-27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sharedItems>
    </cacheField>
  </cacheFields>
  <cacheHierarchies count="49">
    <cacheHierarchy uniqueName="[Table1].[Meeting ID]" caption="Meeting ID" attribute="1" defaultMemberUniqueName="[Table1].[Meeting ID].[All]" allUniqueName="[Table1].[Meeting ID].[All]" dimensionUniqueName="[Table1]" displayFolder="" count="0" memberValueDatatype="130" unbalanced="0"/>
    <cacheHierarchy uniqueName="[Table1].[Venture Name]" caption="Venture Name" attribute="1" defaultMemberUniqueName="[Table1].[Venture Name].[All]" allUniqueName="[Table1].[Venture Name].[All]" dimensionUniqueName="[Table1]" displayFolder="" count="0" memberValueDatatype="130" unbalanced="0"/>
    <cacheHierarchy uniqueName="[Table1].[Hub]" caption="Hub" attribute="1" defaultMemberUniqueName="[Table1].[Hub].[All]" allUniqueName="[Table1].[Hub].[All]" dimensionUniqueName="[Table1]" displayFolder="" count="0" memberValueDatatype="130" unbalanced="0"/>
    <cacheHierarchy uniqueName="[Table1].[Program Tier]" caption="Program Tier" attribute="1" defaultMemberUniqueName="[Table1].[Program Tier].[All]" allUniqueName="[Table1].[Program Tier].[All]" dimensionUniqueName="[Table1]" displayFolder="" count="0" memberValueDatatype="130" unbalanced="0"/>
    <cacheHierarchy uniqueName="[Table1].[Mentor Name]" caption="Mentor Name" attribute="1" defaultMemberUniqueName="[Table1].[Mentor Name].[All]" allUniqueName="[Table1].[Mentor Name].[All]" dimensionUniqueName="[Table1]" displayFolder="" count="0" memberValueDatatype="130" unbalanced="0"/>
    <cacheHierarchy uniqueName="[Table1].[Ask]" caption="Ask" attribute="1" defaultMemberUniqueName="[Table1].[Ask].[All]" allUniqueName="[Table1].[Ask].[All]" dimensionUniqueName="[Table1]" displayFolder="" count="0" memberValueDatatype="130" unbalanced="0"/>
    <cacheHierarchy uniqueName="[Table1].[Session Type]" caption="Session Type" attribute="1" defaultMemberUniqueName="[Table1].[Session Type].[All]" allUniqueName="[Table1].[Session Type].[All]" dimensionUniqueName="[Table1]" displayFolder="" count="0" memberValueDatatype="130" unbalanced="0"/>
    <cacheHierarchy uniqueName="[Table1].[Requested for Mentors On]" caption="Requested for Mentors On" attribute="1" time="1" defaultMemberUniqueName="[Table1].[Requested for Mentors On].[All]" allUniqueName="[Table1].[Requested for Mentors On].[All]" dimensionUniqueName="[Table1]" displayFolder="" count="0" memberValueDatatype="7" unbalanced="0"/>
    <cacheHierarchy uniqueName="[Table1].[Shortlisted Mentors On]" caption="Shortlisted Mentors On" attribute="1" time="1" defaultMemberUniqueName="[Table1].[Shortlisted Mentors On].[All]" allUniqueName="[Table1].[Shortlisted Mentors On].[All]" dimensionUniqueName="[Table1]" displayFolder="" count="0" memberValueDatatype="7" unbalanced="0"/>
    <cacheHierarchy uniqueName="[Table1].[Suggested Mentors On]" caption="Suggested Mentors On" attribute="1" time="1" defaultMemberUniqueName="[Table1].[Suggested Mentors On].[All]" allUniqueName="[Table1].[Suggested Mentors On].[All]" dimensionUniqueName="[Table1]" displayFolder="" count="0" memberValueDatatype="7" unbalanced="0"/>
    <cacheHierarchy uniqueName="[Table1].[Preferred Mentor Selected On]" caption="Preferred Mentor Selected On" attribute="1" time="1" defaultMemberUniqueName="[Table1].[Preferred Mentor Selected On].[All]" allUniqueName="[Table1].[Preferred Mentor Selected On].[All]" dimensionUniqueName="[Table1]" displayFolder="" count="0" memberValueDatatype="7" unbalanced="0"/>
    <cacheHierarchy uniqueName="[Table1].[Meeting Date]" caption="Meeting Date" attribute="1" time="1" defaultMemberUniqueName="[Table1].[Meeting Date].[All]" allUniqueName="[Table1].[Meeting Date].[All]" dimensionUniqueName="[Table1]" displayFolder="" count="0" memberValueDatatype="7" unbalanced="0"/>
    <cacheHierarchy uniqueName="[Table1].[Scheduled Time]" caption="Scheduled Time" attribute="1" defaultMemberUniqueName="[Table1].[Scheduled Time].[All]" allUniqueName="[Table1].[Scheduled Time].[All]" dimensionUniqueName="[Table1]" displayFolder="" count="0" memberValueDatatype="130" unbalanced="0"/>
    <cacheHierarchy uniqueName="[Table1].[Duration (min)]" caption="Duration (min)" attribute="1" defaultMemberUniqueName="[Table1].[Duration (min)].[All]" allUniqueName="[Table1].[Duration (min)].[All]" dimensionUniqueName="[Table1]" displayFolder="" count="0" memberValueDatatype="20" unbalanced="0"/>
    <cacheHierarchy uniqueName="[Table1].[Session Status]" caption="Session Status" attribute="1" defaultMemberUniqueName="[Table1].[Session Status].[All]" allUniqueName="[Table1].[Session Status].[All]" dimensionUniqueName="[Table1]" displayFolder="" count="0" memberValueDatatype="130" unbalanced="0"/>
    <cacheHierarchy uniqueName="[Table1].[Meeting Summary]" caption="Meeting Summary" attribute="1" defaultMemberUniqueName="[Table1].[Meeting Summary].[All]" allUniqueName="[Table1].[Meeting Summary].[All]" dimensionUniqueName="[Table1]" displayFolder="" count="0" memberValueDatatype="130" unbalanced="0"/>
    <cacheHierarchy uniqueName="[Table1].[Next Steps / Action Items]" caption="Next Steps / Action Items" attribute="1" defaultMemberUniqueName="[Table1].[Next Steps / Action Items].[All]" allUniqueName="[Table1].[Next Steps / Action Items].[All]" dimensionUniqueName="[Table1]" displayFolder="" count="0" memberValueDatatype="130" unbalanced="0"/>
    <cacheHierarchy uniqueName="[Table1].[Mentor Brief]" caption="Mentor Brief" attribute="1" defaultMemberUniqueName="[Table1].[Mentor Brief].[All]" allUniqueName="[Table1].[Mentor Brief].[All]" dimensionUniqueName="[Table1]" displayFolder="" count="0" memberValueDatatype="130" unbalanced="0"/>
    <cacheHierarchy uniqueName="[Table1].[Recording]" caption="Recording" attribute="1" defaultMemberUniqueName="[Table1].[Recording].[All]" allUniqueName="[Table1].[Recording].[All]" dimensionUniqueName="[Table1]" displayFolder="" count="2" memberValueDatatype="130" unbalanced="0">
      <fieldsUsage count="2">
        <fieldUsage x="-1"/>
        <fieldUsage x="3"/>
      </fieldsUsage>
    </cacheHierarchy>
    <cacheHierarchy uniqueName="[Table1].[Transcript]" caption="Transcript" attribute="1" defaultMemberUniqueName="[Table1].[Transcript].[All]" allUniqueName="[Table1].[Transcript].[All]" dimensionUniqueName="[Table1]" displayFolder="" count="2" memberValueDatatype="130" unbalanced="0">
      <fieldsUsage count="2">
        <fieldUsage x="-1"/>
        <fieldUsage x="2"/>
      </fieldsUsage>
    </cacheHierarchy>
    <cacheHierarchy uniqueName="[Table1].[Follow-Up Required?]" caption="Follow-Up Required?" attribute="1" defaultMemberUniqueName="[Table1].[Follow-Up Required?].[All]" allUniqueName="[Table1].[Follow-Up Required?].[All]" dimensionUniqueName="[Table1]" displayFolder="" count="0" memberValueDatatype="130" unbalanced="0"/>
    <cacheHierarchy uniqueName="[Table1].[Follow-Up Owner]" caption="Follow-Up Owner" attribute="1" defaultMemberUniqueName="[Table1].[Follow-Up Owner].[All]" allUniqueName="[Table1].[Follow-Up Owner].[All]" dimensionUniqueName="[Table1]" displayFolder="" count="0" memberValueDatatype="130" unbalanced="0"/>
    <cacheHierarchy uniqueName="[Table1].[Follow-Up Date]" caption="Follow-Up Date" attribute="1" defaultMemberUniqueName="[Table1].[Follow-Up Date].[All]" allUniqueName="[Table1].[Follow-Up Date].[All]" dimensionUniqueName="[Table1]" displayFolder="" count="0" memberValueDatatype="130" unbalanced="0"/>
    <cacheHierarchy uniqueName="[Table1].[Follow-Up Status]" caption="Follow-Up Status" attribute="1" defaultMemberUniqueName="[Table1].[Follow-Up Status].[All]" allUniqueName="[Table1].[Follow-Up Status].[All]" dimensionUniqueName="[Table1]" displayFolder="" count="0" memberValueDatatype="130" unbalanced="0"/>
    <cacheHierarchy uniqueName="[Table1].[Feedback Rating (1-5)]" caption="Feedback Rating (1-5)" attribute="1" defaultMemberUniqueName="[Table1].[Feedback Rating (1-5)].[All]" allUniqueName="[Table1].[Feedback Rating (1-5)].[All]" dimensionUniqueName="[Table1]" displayFolder="" count="0" memberValueDatatype="130" unbalanced="0"/>
    <cacheHierarchy uniqueName="[Table1].[Feedback Comments]" caption="Feedback Comments" attribute="1" defaultMemberUniqueName="[Table1].[Feedback Comments].[All]" allUniqueName="[Table1].[Feedback Comments].[All]" dimensionUniqueName="[Table1]" displayFolder="" count="0" memberValueDatatype="130" unbalanced="0"/>
    <cacheHierarchy uniqueName="[Table1].[Escalations]" caption="Escalations" attribute="1" defaultMemberUniqueName="[Table1].[Escalations].[All]" allUniqueName="[Table1].[Escalations].[All]" dimensionUniqueName="[Table1]" displayFolder="" count="0" memberValueDatatype="130" unbalanced="0"/>
    <cacheHierarchy uniqueName="[Table1].[RN Team Member]" caption="RN Team Member" attribute="1" defaultMemberUniqueName="[Table1].[RN Team Member].[All]" allUniqueName="[Table1].[RN Team Member].[All]" dimensionUniqueName="[Table1]" displayFolder="" count="0" memberValueDatatype="130" unbalanced="0"/>
    <cacheHierarchy uniqueName="[Table1].[Connected by US]" caption="Connected by US" attribute="1" defaultMemberUniqueName="[Table1].[Connected by US].[All]" allUniqueName="[Table1].[Connected by US].[All]" dimensionUniqueName="[Table1]" displayFolder="" count="0" memberValueDatatype="130" unbalanced="0"/>
    <cacheHierarchy uniqueName="[Table1].[Session Paid or Probono]" caption="Session Paid or Probono" attribute="1" defaultMemberUniqueName="[Table1].[Session Paid or Probono].[All]" allUniqueName="[Table1].[Session Paid or Probono].[All]" dimensionUniqueName="[Table1]" displayFolder="" count="0" memberValueDatatype="130" unbalanced="0"/>
    <cacheHierarchy uniqueName="[Table1].[Feedback ID]" caption="Feedback ID" attribute="1" defaultMemberUniqueName="[Table1].[Feedback ID].[All]" allUniqueName="[Table1].[Feedback ID].[All]" dimensionUniqueName="[Table1]" displayFolder="" count="2" memberValueDatatype="5" unbalanced="0"/>
    <cacheHierarchy uniqueName="[Table1].[Feedback reachout Status]" caption="Feedback reachout Status" attribute="1" defaultMemberUniqueName="[Table1].[Feedback reachout Status].[All]" allUniqueName="[Table1].[Feedback reachout Status].[All]" dimensionUniqueName="[Table1]" displayFolder="" count="2" memberValueDatatype="130" unbalanced="0"/>
    <cacheHierarchy uniqueName="[Table1].[Feedback Reachout Remarks]" caption="Feedback Reachout Remarks" attribute="1" defaultMemberUniqueName="[Table1].[Feedback Reachout Remarks].[All]" allUniqueName="[Table1].[Feedback Reachout Remarks].[All]" dimensionUniqueName="[Table1]" displayFolder="" count="0" memberValueDatatype="130" unbalanced="0"/>
    <cacheHierarchy uniqueName="[Table1].[Preferred Mentor Selected On (Week)]" caption="Preferred Mentor Selected On (Week)" attribute="1" defaultMemberUniqueName="[Table1].[Preferred Mentor Selected On (Week)].[All]" allUniqueName="[Table1].[Preferred Mentor Selected On (Week)].[All]" dimensionUniqueName="[Table1]" displayFolder="" count="2" memberValueDatatype="130" unbalanced="0">
      <fieldsUsage count="2">
        <fieldUsage x="-1"/>
        <fieldUsage x="1"/>
      </fieldsUsage>
    </cacheHierarchy>
    <cacheHierarchy uniqueName="[Table1].[Meeting Date (Week)]" caption="Meeting Date (Week)" attribute="1" time="1" defaultMemberUniqueName="[Table1].[Meeting Date (Week)].[All]" allUniqueName="[Table1].[Meeting Date (Week)].[All]" dimensionUniqueName="[Table1]" displayFolder="" count="2" memberValueDatatype="7" unbalanced="0">
      <fieldsUsage count="2">
        <fieldUsage x="-1"/>
        <fieldUsage x="4"/>
      </fieldsUsage>
    </cacheHierarchy>
    <cacheHierarchy uniqueName="[Table1].[Meeting Date (Week) (Year)]" caption="Meeting Date (Week) (Year)" attribute="1" defaultMemberUniqueName="[Table1].[Meeting Date (Week) (Year)].[All]" allUniqueName="[Table1].[Meeting Date (Week) (Year)].[All]" dimensionUniqueName="[Table1]" displayFolder="" count="0" memberValueDatatype="130" unbalanced="0"/>
    <cacheHierarchy uniqueName="[Table1].[Meeting Date (Week) (Quarter)]" caption="Meeting Date (Week) (Quarter)" attribute="1" defaultMemberUniqueName="[Table1].[Meeting Date (Week) (Quarter)].[All]" allUniqueName="[Table1].[Meeting Date (Week) (Quarter)].[All]" dimensionUniqueName="[Table1]" displayFolder="" count="0" memberValueDatatype="130" unbalanced="0"/>
    <cacheHierarchy uniqueName="[Table1].[Meeting Date (Week) (Month)]" caption="Meeting Date (Week) (Month)" attribute="1" defaultMemberUniqueName="[Table1].[Meeting Date (Week) (Month)].[All]" allUniqueName="[Table1].[Meeting Date (Week) (Month)].[All]" dimensionUniqueName="[Table1]" displayFolder="" count="0" memberValueDatatype="130" unbalanced="0"/>
    <cacheHierarchy uniqueName="[Table1].[Preferred Mentor Selected On (Year)]" caption="Preferred Mentor Selected On (Year)" attribute="1" defaultMemberUniqueName="[Table1].[Preferred Mentor Selected On (Year)].[All]" allUniqueName="[Table1].[Preferred Mentor Selected On (Year)].[All]" dimensionUniqueName="[Table1]" displayFolder="" count="0" memberValueDatatype="130" unbalanced="0"/>
    <cacheHierarchy uniqueName="[Table1].[Preferred Mentor Selected On (Month)]" caption="Preferred Mentor Selected On (Month)" attribute="1" defaultMemberUniqueName="[Table1].[Preferred Mentor Selected On (Month)].[All]" allUniqueName="[Table1].[Preferred Mentor Selected On (Month)].[All]" dimensionUniqueName="[Table1]" displayFolder="" count="0" memberValueDatatype="130" unbalanced="0"/>
    <cacheHierarchy uniqueName="[Table1].[Meeting Date (Week) (Month Index)]" caption="Meeting Date (Week) (Month Index)" attribute="1" defaultMemberUniqueName="[Table1].[Meeting Date (Week) (Month Index)].[All]" allUniqueName="[Table1].[Meeting Date (Week) (Month Index)].[All]" dimensionUniqueName="[Table1]" displayFolder="" count="0" memberValueDatatype="20" unbalanced="0" hidden="1"/>
    <cacheHierarchy uniqueName="[Table1].[Preferred Mentor Selected On (Month Index)]" caption="Preferred Mentor Selected On (Month Index)" attribute="1" defaultMemberUniqueName="[Table1].[Preferred Mentor Selected On (Month Index)].[All]" allUniqueName="[Table1].[Preferred Mentor Selected On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Venture Name]" caption="Count of Venture 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Venture Name]" caption="Distinct Count of Venture Name" measure="1" displayFolder="" measureGroup="Table1" count="0" hidden="1">
      <extLst>
        <ext xmlns:x15="http://schemas.microsoft.com/office/spreadsheetml/2010/11/main" uri="{B97F6D7D-B522-45F9-BDA1-12C45D357490}">
          <x15:cacheHierarchy aggregatedColumn="1"/>
        </ext>
      </extLst>
    </cacheHierarchy>
    <cacheHierarchy uniqueName="[Measures].[Count of Mentor Name]" caption="Count of Mentor Name" measure="1" displayFolder="" measureGroup="Table1" count="0" hidden="1">
      <extLst>
        <ext xmlns:x15="http://schemas.microsoft.com/office/spreadsheetml/2010/11/main" uri="{B97F6D7D-B522-45F9-BDA1-12C45D357490}">
          <x15:cacheHierarchy aggregatedColumn="4"/>
        </ext>
      </extLst>
    </cacheHierarchy>
    <cacheHierarchy uniqueName="[Measures].[Distinct Count of Mentor Name]" caption="Distinct Count of Mentor Name" measure="1" displayFolder="" measureGroup="Table1" count="0" hidden="1">
      <extLst>
        <ext xmlns:x15="http://schemas.microsoft.com/office/spreadsheetml/2010/11/main" uri="{B97F6D7D-B522-45F9-BDA1-12C45D357490}">
          <x15:cacheHierarchy aggregatedColumn="4"/>
        </ext>
      </extLst>
    </cacheHierarchy>
    <cacheHierarchy uniqueName="[Measures].[Count of Feedback reachout Status]" caption="Count of Feedback reachout Status" measure="1" displayFolder="" measureGroup="Table1" count="0" hidden="1">
      <extLst>
        <ext xmlns:x15="http://schemas.microsoft.com/office/spreadsheetml/2010/11/main" uri="{B97F6D7D-B522-45F9-BDA1-12C45D357490}">
          <x15:cacheHierarchy aggregatedColumn="3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B34636-84D5-4109-A793-CCE8166DBA55}"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B35" firstHeaderRow="1" firstDataRow="1" firstDataCol="1"/>
  <pivotFields count="5">
    <pivotField dataField="1" subtotalTop="0" showAll="0" defaultSubtotal="0"/>
    <pivotField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4"/>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Venture Name"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82" level="1">
        <member name="[Table1].[Recording].&amp;[ https://wadhwanifoundation-my.sharepoint.com/personal/vaibhav_mattas_wadhwanifoundation_org/_layouts/15/Doc.aspx?sourcedoc=%7BE7991494-6037-4784-9CB0-1BAD523742E5%7D&amp;file=Expert%20Connect%202%20_%20Manufyx%20x%20Wadhwani%20Accelerate.docx&amp;action=default&amp;mobileredirect=true&amp;DefaultItemOpen=1]"/>
        <member name="[Table1].[Recording].&amp;[https://wadhwanifoundation-my.sharepoint.com/:v:/g/personal/accelerate_wadhwanifoundation_org/IQAgRScEtU5CSqp5_xl-86CZATYk-aLQuQK2DT4BV6_-R-k?e=ffE8Bd&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ALx_9vnBb0S6kcl58comOcAYw22_VXekVfCiG5k7UcXKE?e=D7LE3b&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AQHZcayc-8S6IFcLhbtLq2AbwrKYU2RJwAGubr93GFXgM?e=kvoRY3&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AwiuI28kCRT4HVgckZ995tAaHUhtVcqnUqekrwI3Wd08A?nav=eyJyZWZlcnJhbEluZm8iOnsicmVmZXJyYWxBcHAiOiJPbmVEcml2ZUZvckJ1c2luZXNzIiwicmVmZXJyYWxBcHBQbGF0Zm9ybSI6IldlYiIsInJlZmVycmFsTW9kZSI6InZpZXciLCJyZWZlcnJhbFZpZXciOiJNeUZpbGVzTGlua0NvcHkifX0&amp;e=w9HB1D]"/>
        <member name="[Table1].[Recording].&amp;[https://wadhwanifoundation-my.sharepoint.com/:v:/g/personal/accelerate_wadhwanifoundation_org/IQB-68jwMZVMRYSdQboo4QBGAb9kFita3CcTjTuA87lwn4w?e=Nh3YNw&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BNBRCNJGTYR7rzES-8W-zRAV_JjiRyV8XmJ3Rkg5OotwY?e=2mLVdz&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BnJ02Wdk34QZTYmeFz71MeAdG50NNO17QLD4OI7OrOBZY?e=cLvKYo&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Cap8nC28gUSYIugmV5soKLAaC9PZZ24wFZU8Cs_W9NqNA?e=L3dM3W&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Cculps4yvXRqwlR3eDVZHWASmMiyyWfW6ON8aIj5eQi5g?e=cktzPN&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CdolpaxkDIRK6oGj4qgsaVAcgCuXKy2BIf5Mf-J9ZIMKU?e=v2sRrH&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ChvsnKDxNgQKbZXPPUhmxuATp3mI22rNkUKVwkvvJ42ro?e=g7vYRC]"/>
        <member name="[Table1].[Recording].&amp;[https://wadhwanifoundation-my.sharepoint.com/:v:/g/personal/accelerate_wadhwanifoundation_org/IQDI5OTQIMrQSbc_XuTb3rxWAUePOrLneuEftZQ7tZUrTEs?e=TR3JK7&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DIvapauEthS4dG-cFNGN-iASVyLafElHvDb8_0-0bOISM?e=EjxTYK&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DlGbc8SO1ESInkIFZAwv1rAcv1C--JzUuqrpbPC3qW99E?e=xTXod2&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DLSPa2N6iORIrkKxJeTWzeAUmqml6fP-q7EFfB7HKnl8E?e=kf981A&amp;nav=eyJyZWZlcnJhbEluZm8iOnsicmVmZXJyYWxBcHAiOiJTdHJlYW1XZWJBcHAiLCJyZWZlcnJhbFZpZXciOiJTaGFyZURpYWxvZy1MaW5rIiwicmVmZXJyYWxBcHBQbGF0Zm9ybSI6IldlYiIsInJlZmVycmFsTW9kZSI6InZpZXcifX0%3D]"/>
        <member name="[Table1].[Recording].&amp;[https://wadhwanifoundation-my.sharepoint.com/:v:/g/personal/accelerate_wadhwanifoundation_org/IQDLw4OGyNXHRZMvK0PFQ0u-AciHevDngg3mnYEcMlCzzwc?e=wnqqHN&amp;nav=eyJyZWZlcnJhbEluZm8iOnsicmVmZXJyYWxBcHAiOiJTdHJlYW1XZWJBcHAiLCJyZWZlcnJhbFZpZXciOiJTaGFyZURpYWxvZy1MaW5rIiwicmVmZXJyYWxBcHBQbGF0Zm9ybSI6IldlYiIsInJlZmVycmFsTW9kZSI6InZpZXcifX0%3D]"/>
        <member name="[Table1].[Recording].&amp;[https://wadhwanifoundation-my.sharepoint.com/personal/accelerate_wadhwanifoundation_org/_layouts/15/stream.aspx?id=%2Fpersonal%2Faccelerate%5Fwadhwanifoundation%5Forg%2FDocuments%2FRecordings%2FExpert%20Connect%202%20%20Bebe%C2%A0Burp%20x%20Wadhwani%20Accelerate%2D20260310%5F092851UTC%2DMeeting%20Recording%2Emp4&amp;referrer=StreamWebApp%2EWeb&amp;referrerScenario=AddressBarCopied%2Eview%2E453ac413%2D9a97%2D4e84%2D931f%2D1b07766d2551]"/>
        <member name="[Table1].[Recording].&amp;[https://wadhwanifoundation-my.sharepoint.com/personal/accelerate_wadhwanifoundation_org/_layouts/15/stream.aspx?id=%2Fpersonal%2Faccelerate%5Fwadhwanifoundation%5Forg%2FDocuments%2FRecordings%2FExpert%20Connect%203%20%20Bebe%20Burp%20x%20Wadhwani%20Accelerate%2D20260314%5F063248UTC%2DMeeting%20Recording%2Emp4&amp;referrer=StreamWebApp%2EWeb&amp;referrerScenario=AddressBarCopied%2Eview%2E004e9fe2%2D2cf5%2D47c8%2D867f%2D5eb8f481004a]"/>
        <member name="[Table1].[Recording].&amp;[https://wadhwanifoundation-my.sharepoint.com/personal/accelerate_wadhwanifoundation_org/_layouts/15/viewer.aspx?sourcedoc={0a049fe0-b962-4e61-91f2-51e853bfb1e8}]"/>
        <member name="[Table1].[Recording].&amp;[https://wadhwanifoundation-my.sharepoint.com/personal/accelerate_wadhwanifoundation_org/_layouts/15/viewer.aspx?sourcedoc={0a71b5ba-b543-4642-a011-a32510070f9e}]"/>
        <member name="[Table1].[Recording].&amp;[https://wadhwanifoundation-my.sharepoint.com/personal/accelerate_wadhwanifoundation_org/_layouts/15/viewer.aspx?sourcedoc={0ac34a74-9764-4e8f-a55a-1ffbea78cec0}]"/>
        <member name="[Table1].[Recording].&amp;[https://wadhwanifoundation-my.sharepoint.com/personal/accelerate_wadhwanifoundation_org/_layouts/15/viewer.aspx?sourcedoc={0e4830a2-8d88-4714-864f-8c658057f817}]"/>
        <member name="[Table1].[Recording].&amp;[https://wadhwanifoundation-my.sharepoint.com/personal/accelerate_wadhwanifoundation_org/_layouts/15/viewer.aspx?sourcedoc={0f545bad-82a8-4323-a27c-b9813c23ce30}]"/>
        <member name="[Table1].[Recording].&amp;[https://wadhwanifoundation-my.sharepoint.com/personal/accelerate_wadhwanifoundation_org/_layouts/15/viewer.aspx?sourcedoc={0f59b411-5670-4402-93e0-2fe6fb36bab9}]"/>
        <member name="[Table1].[Recording].&amp;[https://wadhwanifoundation-my.sharepoint.com/personal/accelerate_wadhwanifoundation_org/_layouts/15/viewer.aspx?sourcedoc={0fb01444-6c9a-48b6-8383-3299267e32f8}]"/>
        <member name="[Table1].[Recording].&amp;[https://wadhwanifoundation-my.sharepoint.com/personal/accelerate_wadhwanifoundation_org/_layouts/15/viewer.aspx?sourcedoc={1737de07-7472-441b-ab4f-1d995411e5b0}]"/>
        <member name="[Table1].[Recording].&amp;[https://wadhwanifoundation-my.sharepoint.com/personal/accelerate_wadhwanifoundation_org/_layouts/15/viewer.aspx?sourcedoc={1fdde4b2-c67b-4efa-aeee-f3901bf2176e}]"/>
        <member name="[Table1].[Recording].&amp;[https://wadhwanifoundation-my.sharepoint.com/personal/accelerate_wadhwanifoundation_org/_layouts/15/viewer.aspx?sourcedoc={217660bd-31db-4b36-8ac9-fa3b13cb3365}]"/>
        <member name="[Table1].[Recording].&amp;[https://wadhwanifoundation-my.sharepoint.com/personal/accelerate_wadhwanifoundation_org/_layouts/15/viewer.aspx?sourcedoc={23bd464c-7aa1-4af4-a0a7-7b39c8e5dffd}]"/>
        <member name="[Table1].[Recording].&amp;[https://wadhwanifoundation-my.sharepoint.com/personal/accelerate_wadhwanifoundation_org/_layouts/15/viewer.aspx?sourcedoc={26feda53-e923-4202-bf0b-9fcf29c0f05f}]"/>
        <member name="[Table1].[Recording].&amp;[https://wadhwanifoundation-my.sharepoint.com/personal/accelerate_wadhwanifoundation_org/_layouts/15/viewer.aspx?sourcedoc={2ab1a238-67d7-4455-baf8-1d76f28f2b27}]"/>
        <member name="[Table1].[Recording].&amp;[https://wadhwanifoundation-my.sharepoint.com/personal/accelerate_wadhwanifoundation_org/_layouts/15/viewer.aspx?sourcedoc={2e974617-998f-4bb0-9cab-470cc0a7ef82}]"/>
        <member name="[Table1].[Recording].&amp;[https://wadhwanifoundation-my.sharepoint.com/personal/accelerate_wadhwanifoundation_org/_layouts/15/viewer.aspx?sourcedoc={3054935f-a8f4-443d-bae3-c66c4e573466}]"/>
        <member name="[Table1].[Recording].&amp;[https://wadhwanifoundation-my.sharepoint.com/personal/accelerate_wadhwanifoundation_org/_layouts/15/viewer.aspx?sourcedoc={3cf9bfd6-0e39-4628-8f7b-6509057124cf}]"/>
        <member name="[Table1].[Recording].&amp;[https://wadhwanifoundation-my.sharepoint.com/personal/accelerate_wadhwanifoundation_org/_layouts/15/viewer.aspx?sourcedoc={3de73eda-d209-4375-bd3a-897dae98edda}]"/>
        <member name="[Table1].[Recording].&amp;[https://wadhwanifoundation-my.sharepoint.com/personal/accelerate_wadhwanifoundation_org/_layouts/15/viewer.aspx?sourcedoc={414747d1-3ae7-42e2-b01a-f61a36b43eeb}]"/>
        <member name="[Table1].[Recording].&amp;[https://wadhwanifoundation-my.sharepoint.com/personal/accelerate_wadhwanifoundation_org/_layouts/15/viewer.aspx?sourcedoc={4503c524-7946-40a7-ba02-39d6efeb43ce}]"/>
        <member name="[Table1].[Recording].&amp;[https://wadhwanifoundation-my.sharepoint.com/personal/accelerate_wadhwanifoundation_org/_layouts/15/viewer.aspx?sourcedoc={4b34e82b-62f3-4499-8355-713ddadf9a05}]"/>
        <member name="[Table1].[Recording].&amp;[https://wadhwanifoundation-my.sharepoint.com/personal/accelerate_wadhwanifoundation_org/_layouts/15/viewer.aspx?sourcedoc={51a71571-602f-4bc1-b811-8efb777f48f7}]"/>
        <member name="[Table1].[Recording].&amp;[https://wadhwanifoundation-my.sharepoint.com/personal/accelerate_wadhwanifoundation_org/_layouts/15/viewer.aspx?sourcedoc={5fbfc510-e562-423b-855f-10a9817f96aa}]"/>
        <member name="[Table1].[Recording].&amp;[https://wadhwanifoundation-my.sharepoint.com/personal/accelerate_wadhwanifoundation_org/_layouts/15/viewer.aspx?sourcedoc={6728e9ef-3a80-4352-bea4-fdd4e2abd231}]"/>
        <member name="[Table1].[Recording].&amp;[https://wadhwanifoundation-my.sharepoint.com/personal/accelerate_wadhwanifoundation_org/_layouts/15/viewer.aspx?sourcedoc={6a4762b5-0a2d-4358-84f1-e09884e7b46e}]"/>
        <member name="[Table1].[Recording].&amp;[https://wadhwanifoundation-my.sharepoint.com/personal/accelerate_wadhwanifoundation_org/_layouts/15/viewer.aspx?sourcedoc={6a54f50c-0c6b-4c35-a8ff-265a40ca3c47}]"/>
        <member name="[Table1].[Recording].&amp;[https://wadhwanifoundation-my.sharepoint.com/personal/accelerate_wadhwanifoundation_org/_layouts/15/viewer.aspx?sourcedoc={727c5b07-aa99-4261-af1c-095ef5a57680}]"/>
        <member name="[Table1].[Recording].&amp;[https://wadhwanifoundation-my.sharepoint.com/personal/accelerate_wadhwanifoundation_org/_layouts/15/viewer.aspx?sourcedoc={73479bd4-02d3-43b3-aec6-bbe25d9822b6}]"/>
        <member name="[Table1].[Recording].&amp;[https://wadhwanifoundation-my.sharepoint.com/personal/accelerate_wadhwanifoundation_org/_layouts/15/viewer.aspx?sourcedoc={80d0916e-8b4f-400a-bd71-fc431c37cfef}]"/>
        <member name="[Table1].[Recording].&amp;[https://wadhwanifoundation-my.sharepoint.com/personal/accelerate_wadhwanifoundation_org/_layouts/15/viewer.aspx?sourcedoc={80f9482b-8f8d-417d-95f2-8e526dc1f892}]"/>
        <member name="[Table1].[Recording].&amp;[https://wadhwanifoundation-my.sharepoint.com/personal/accelerate_wadhwanifoundation_org/_layouts/15/viewer.aspx?sourcedoc={81bc8bc2-bf2b-4abb-b015-f5206e2a568b}]"/>
        <member name="[Table1].[Recording].&amp;[https://wadhwanifoundation-my.sharepoint.com/personal/accelerate_wadhwanifoundation_org/_layouts/15/viewer.aspx?sourcedoc={82e0b7d1-4dab-433f-9910-3c2c74ceda1c}]"/>
        <member name="[Table1].[Recording].&amp;[https://wadhwanifoundation-my.sharepoint.com/personal/accelerate_wadhwanifoundation_org/_layouts/15/viewer.aspx?sourcedoc={8d54e21b-3fd6-471c-992a-fa8590cad50f}]"/>
        <member name="[Table1].[Recording].&amp;[https://wadhwanifoundation-my.sharepoint.com/personal/accelerate_wadhwanifoundation_org/_layouts/15/viewer.aspx?sourcedoc={92a08512-5801-4537-b77d-bdb05be20a70}]"/>
        <member name="[Table1].[Recording].&amp;[https://wadhwanifoundation-my.sharepoint.com/personal/accelerate_wadhwanifoundation_org/_layouts/15/viewer.aspx?sourcedoc={93784d37-bc18-44e8-9c51-df6e8edc4c23}]"/>
        <member name="[Table1].[Recording].&amp;[https://wadhwanifoundation-my.sharepoint.com/personal/accelerate_wadhwanifoundation_org/_layouts/15/viewer.aspx?sourcedoc={9434dffa-ee78-44e3-9ff3-1e4b3fbb2343}]"/>
        <member name="[Table1].[Recording].&amp;[https://wadhwanifoundation-my.sharepoint.com/personal/accelerate_wadhwanifoundation_org/_layouts/15/viewer.aspx?sourcedoc={957c454c-67c4-48b3-9ff5-fa1bef3e2e58}]"/>
        <member name="[Table1].[Recording].&amp;[https://wadhwanifoundation-my.sharepoint.com/personal/accelerate_wadhwanifoundation_org/_layouts/15/viewer.aspx?sourcedoc={99091af8-9c8d-4eba-9a59-653183f95dbe}]"/>
        <member name="[Table1].[Recording].&amp;[https://wadhwanifoundation-my.sharepoint.com/personal/accelerate_wadhwanifoundation_org/_layouts/15/viewer.aspx?sourcedoc={99cb1cdf-eb70-435c-b61e-c45bec8f345c}]"/>
        <member name="[Table1].[Recording].&amp;[https://wadhwanifoundation-my.sharepoint.com/personal/accelerate_wadhwanifoundation_org/_layouts/15/viewer.aspx?sourcedoc={9c632e48-fba9-4f93-b280-44637fd7ba24}]"/>
        <member name="[Table1].[Recording].&amp;[https://wadhwanifoundation-my.sharepoint.com/personal/accelerate_wadhwanifoundation_org/_layouts/15/viewer.aspx?sourcedoc={a2ec0032-ae86-4f00-9b03-e6de9fc51ca1}]"/>
        <member name="[Table1].[Recording].&amp;[https://wadhwanifoundation-my.sharepoint.com/personal/accelerate_wadhwanifoundation_org/_layouts/15/viewer.aspx?sourcedoc={a87c489b-bb27-43f9-aec7-45eabe5a8804}]"/>
        <member name="[Table1].[Recording].&amp;[https://wadhwanifoundation-my.sharepoint.com/personal/accelerate_wadhwanifoundation_org/_layouts/15/viewer.aspx?sourcedoc={b1307710-288a-43f4-9118-b023db899a90}]"/>
        <member name="[Table1].[Recording].&amp;[https://wadhwanifoundation-my.sharepoint.com/personal/accelerate_wadhwanifoundation_org/_layouts/15/viewer.aspx?sourcedoc={b2cea4e5-b4d8-4738-93d5-ce7a386a4391}]"/>
        <member name="[Table1].[Recording].&amp;[https://wadhwanifoundation-my.sharepoint.com/personal/accelerate_wadhwanifoundation_org/_layouts/15/viewer.aspx?sourcedoc={b8b26d70-2807-4a8b-911d-509d696602e9}]"/>
        <member name="[Table1].[Recording].&amp;[https://wadhwanifoundation-my.sharepoint.com/personal/accelerate_wadhwanifoundation_org/_layouts/15/viewer.aspx?sourcedoc={b9471078-b3fe-49b1-8fb1-65412e28ba6d}]"/>
        <member name="[Table1].[Recording].&amp;[https://wadhwanifoundation-my.sharepoint.com/personal/accelerate_wadhwanifoundation_org/_layouts/15/viewer.aspx?sourcedoc={bdb94b16-f9d8-4aa4-9c4e-386d47b20851}]"/>
        <member name="[Table1].[Recording].&amp;[https://wadhwanifoundation-my.sharepoint.com/personal/accelerate_wadhwanifoundation_org/_layouts/15/viewer.aspx?sourcedoc={c573c64b-3b97-437d-9878-021e10da8b01}]"/>
        <member name="[Table1].[Recording].&amp;[https://wadhwanifoundation-my.sharepoint.com/personal/accelerate_wadhwanifoundation_org/_layouts/15/viewer.aspx?sourcedoc={c7e3883f-b4ed-42c1-b2f5-2e800b7954de}]"/>
        <member name="[Table1].[Recording].&amp;[https://wadhwanifoundation-my.sharepoint.com/personal/accelerate_wadhwanifoundation_org/_layouts/15/viewer.aspx?sourcedoc={c9a8eefb-1967-4e0c-aad3-88816c608a42}]"/>
        <member name="[Table1].[Recording].&amp;[https://wadhwanifoundation-my.sharepoint.com/personal/accelerate_wadhwanifoundation_org/_layouts/15/viewer.aspx?sourcedoc={cb45bf20-654d-408d-a54a-821f496f2967}]"/>
        <member name="[Table1].[Recording].&amp;[https://wadhwanifoundation-my.sharepoint.com/personal/accelerate_wadhwanifoundation_org/_layouts/15/viewer.aspx?sourcedoc={cd7cabc0-321f-44e8-8bd0-a4d756707719}]"/>
        <member name="[Table1].[Recording].&amp;[https://wadhwanifoundation-my.sharepoint.com/personal/accelerate_wadhwanifoundation_org/_layouts/15/viewer.aspx?sourcedoc={cf71edc4-5f7c-4a28-a359-f123d8386d80}]"/>
        <member name="[Table1].[Recording].&amp;[https://wadhwanifoundation-my.sharepoint.com/personal/accelerate_wadhwanifoundation_org/_layouts/15/viewer.aspx?sourcedoc={d54ad81f-72fb-4507-8641-7b4e623a2b82}]"/>
        <member name="[Table1].[Recording].&amp;[https://wadhwanifoundation-my.sharepoint.com/personal/accelerate_wadhwanifoundation_org/_layouts/15/viewer.aspx?sourcedoc={d5511bb4-ac41-4a5d-a5fd-78bbde4f23dc}]"/>
        <member name="[Table1].[Recording].&amp;[https://wadhwanifoundation-my.sharepoint.com/personal/accelerate_wadhwanifoundation_org/_layouts/15/viewer.aspx?sourcedoc={e1cd3993-0825-46dd-b3b9-c32728ba8fcc}]"/>
        <member name="[Table1].[Recording].&amp;[https://wadhwanifoundation-my.sharepoint.com/personal/accelerate_wadhwanifoundation_org/_layouts/15/viewer.aspx?sourcedoc={e4f8193a-fdc5-4959-8bce-984fff137efc}]"/>
        <member name="[Table1].[Recording].&amp;[https://wadhwanifoundation-my.sharepoint.com/personal/accelerate_wadhwanifoundation_org/_layouts/15/viewer.aspx?sourcedoc={e60b8f84-cf86-4109-83e9-350631f58f1d}]"/>
        <member name="[Table1].[Recording].&amp;[https://wadhwanifoundation-my.sharepoint.com/personal/accelerate_wadhwanifoundation_org/_layouts/15/viewer.aspx?sourcedoc={e849e158-4b29-4967-afde-8045c36c6e81}]"/>
        <member name="[Table1].[Recording].&amp;[https://wadhwanifoundation-my.sharepoint.com/personal/accelerate_wadhwanifoundation_org/_layouts/15/viewer.aspx?sourcedoc={eebdd1f6-8f39-4cb7-9447-9db7c5302ae9}]"/>
        <member name="[Table1].[Recording].&amp;[https://wadhwanifoundation-my.sharepoint.com/personal/accelerate_wadhwanifoundation_org/_layouts/15/viewer.aspx?sourcedoc={ef07e6ed-6191-4c2f-8858-857d0907cbd3}]"/>
        <member name="[Table1].[Recording].&amp;[https://wadhwanifoundation-my.sharepoint.com/personal/accelerate_wadhwanifoundation_org/_layouts/15/viewer.aspx?sourcedoc={f38add6e-992a-4c7e-bbbb-66688a9c1788}]"/>
        <member name="[Table1].[Recording].&amp;[https://wadhwanifoundation-my.sharepoint.com/personal/accelerate_wadhwanifoundation_org/_layouts/15/viewer.aspx?sourcedoc={f8cd782c-746a-49a4-b875-54acea4c075e}]"/>
        <member name="[Table1].[Recording].&amp;[https://wadhwanifoundation-my.sharepoint.com/personal/accelerate_wadhwanifoundation_org/_layouts/15/viewer.aspx?sourcedoc={f8f1c320-83fd-48e3-a518-9f2fe0a6f2e7}]"/>
      </members>
    </pivotHierarchy>
    <pivotHierarchy multipleItemSelectionAllowed="1" dragToData="1">
      <members count="81" level="1">
        <member name="[Table1].[Transcript].&amp;[Expert Connect _ Aeronero x Wadhwani Accelerate.docx]"/>
        <member name="[Table1].[Transcript].&amp;[Expert Connect 1 _ Zeus Engitech x Wadhwani Accelerate.docx]"/>
        <member name="[Table1].[Transcript].&amp;[https://wadhwanifoundation-my.sharepoint.com/:v:/g/personal/accelerate_wadhwanifoundation_org/IQBNBRCNJGTYR7rzES-8W-zRAV_JjiRyV8XmJ3Rkg5OotwY?e=2mLVdz&amp;nav=eyJyZWZlcnJhbEluZm8iOnsicmVmZXJyYWxBcHAiOiJTdHJlYW1XZWJBcHAiLCJyZWZlcnJhbFZpZXciOiJTaGFyZURpYWxvZy1MaW5rIiwicmVmZXJyYWxBcHBQbGF0Zm9ybSI6IldlYiIsInJlZmVycmFsTW9kZSI6InZpZXcifX0%3D]"/>
        <member name="[Table1].[Transcript].&amp;[https://wadhwanifoundation-my.sharepoint.com/:w:/g/personal/vaibhav_mattas_wadhwanifoundation_org/IQA21axCT4BuT53ZRJBq7fIQAULqLeSuayjGupRVbkTq2gU?e=dH00dN]"/>
        <member name="[Table1].[Transcript].&amp;[https://wadhwanifoundation-my.sharepoint.com/:w:/g/personal/vaibhav_mattas_wadhwanifoundation_org/IQA8q0a2umRXSYtHH65dCslMAZFmW7F0ieIBcZsgNZsoZ8w?e=Wyxati]"/>
        <member name="[Table1].[Transcript].&amp;[https://wadhwanifoundation-my.sharepoint.com/:w:/g/personal/vaibhav_mattas_wadhwanifoundation_org/IQAdZs9t7AXJSJiuyScb8QNrAQAaCq6bzzE793_QcnCQFjk?e=ziFfm2]"/>
        <member name="[Table1].[Transcript].&amp;[https://wadhwanifoundation-my.sharepoint.com/:w:/g/personal/vaibhav_mattas_wadhwanifoundation_org/IQAFiuBZ0s2CQ4NRvWc3J6ouAezgtNbSdGSCU7JC69cyidk?e=We71lS]"/>
        <member name="[Table1].[Transcript].&amp;[https://wadhwanifoundation-my.sharepoint.com/:w:/g/personal/vaibhav_mattas_wadhwanifoundation_org/IQB4gc9ZVvqaS5Ye_6Er3i0jATCCn7T4dVPUbe-MzjC4Dog?e=LTCCVs]"/>
        <member name="[Table1].[Transcript].&amp;[https://wadhwanifoundation-my.sharepoint.com/:w:/g/personal/vaibhav_mattas_wadhwanifoundation_org/IQBjZAUeRpm6QLC0ETkbPTzHAcvqd21Ztix4FAOR0ZH50ww?e=4qv4sB]"/>
        <member name="[Table1].[Transcript].&amp;[https://wadhwanifoundation-my.sharepoint.com/:w:/g/personal/vaibhav_mattas_wadhwanifoundation_org/IQBYnPLfDgFwSLBLCK_gBiVVAct0v6UqaHEZ_PyNrE-vdvc?e=3z6EXq]"/>
        <member name="[Table1].[Transcript].&amp;[https://wadhwanifoundation-my.sharepoint.com/:w:/g/personal/vaibhav_mattas_wadhwanifoundation_org/IQCbYVyFQPRNR7lAI24Frxv7AaQg2-Nzo9YU3Qc8KIdKI_A?e=O1W5ob]"/>
        <member name="[Table1].[Transcript].&amp;[https://wadhwanifoundation-my.sharepoint.com/:w:/g/personal/vaibhav_mattas_wadhwanifoundation_org/IQCfztZ49gOcTLuWke47QP2GAZFsjJ11KQYHrQGHusEdyQk?e=CBcDp8]"/>
        <member name="[Table1].[Transcript].&amp;[https://wadhwanifoundation-my.sharepoint.com/:w:/g/personal/vaibhav_mattas_wadhwanifoundation_org/IQCK7Dv-ySflS5bOQP6Fu0YBAYMpENl5x6ApB7uEPR37XZM?e=tLUAkS]"/>
        <member name="[Table1].[Transcript].&amp;[https://wadhwanifoundation-my.sharepoint.com/:w:/g/personal/vaibhav_mattas_wadhwanifoundation_org/IQCNSHuVQxqXQ4ib9CjJDUiVAdzp8ovnzI2B3Hlui60IlDw?e=xJJ3gH]"/>
        <member name="[Table1].[Transcript].&amp;[https://wadhwanifoundation-my.sharepoint.com/:w:/g/personal/vaibhav_mattas_wadhwanifoundation_org/IQCnxR8g4IfHTqFSx0yVnPn7AVQQCm1eqqNKhxR4y9DS2x0?e=ZAhRgE]"/>
        <member name="[Table1].[Transcript].&amp;[https://wadhwanifoundation-my.sharepoint.com/:w:/g/personal/vaibhav_mattas_wadhwanifoundation_org/IQC-OQRDVWiPRoTL-BR7zbPBAShChc69B8qbd0o7xxTLfSU?e=ah7GpW]"/>
        <member name="[Table1].[Transcript].&amp;[https://wadhwanifoundation-my.sharepoint.com/:w:/g/personal/vaibhav_mattas_wadhwanifoundation_org/IQCsCsO8Rp6MQ5_uwgTrNMeIAcpLmzBputvJhh6AxeXlkI4?e=jOY8H7]"/>
        <member name="[Table1].[Transcript].&amp;[https://wadhwanifoundation-my.sharepoint.com/:w:/g/personal/vaibhav_mattas_wadhwanifoundation_org/IQCSNidf6nk-RrCyNURYxD5gAWu9_f86W-HjRKuHLTqEkJU?e=R72fNJ]"/>
        <member name="[Table1].[Transcript].&amp;[https://wadhwanifoundation-my.sharepoint.com/:w:/g/personal/vaibhav_mattas_wadhwanifoundation_org/IQCTQ7bcawd-SoHC7SiaQZh4AReSV-asb93-KHQSobteSZA?e=EZGc2Y]"/>
        <member name="[Table1].[Transcript].&amp;[https://wadhwanifoundation-my.sharepoint.com/:w:/g/personal/vaibhav_mattas_wadhwanifoundation_org/IQCWIk9nRFWTRZsdfAkC6Xm0ARhvPxIHhVXK_52OmpMAgLI?e=uWYb8u]"/>
        <member name="[Table1].[Transcript].&amp;[https://wadhwanifoundation-my.sharepoint.com/:w:/g/personal/vaibhav_mattas_wadhwanifoundation_org/IQCxv7Y8A4YQRphCPbvGhnQ3AUqkZ1exp5jFzbB0uxk_890?e=pIzd0I]"/>
        <member name="[Table1].[Transcript].&amp;[https://wadhwanifoundation-my.sharepoint.com/:w:/g/personal/vaibhav_mattas_wadhwanifoundation_org/IQD7zjlUER1AQYhPbvL1vaANAWlVV1Wy-45CY9yOn8zZ0vA?e=RPJWvK]"/>
        <member name="[Table1].[Transcript].&amp;[https://wadhwanifoundation-my.sharepoint.com/:w:/g/personal/vaibhav_mattas_wadhwanifoundation_org/IQDA2xaLk3HbSJ9qMZ-RMyIHAeWuXmXe2B6NkjV21kYyAbc?e=4I4wL2]"/>
        <member name="[Table1].[Transcript].&amp;[https://wadhwanifoundation-my.sharepoint.com/:w:/g/personal/vaibhav_mattas_wadhwanifoundation_org/IQDAu6De93-lRIC3_UgSXl2rAb_L2Kx7uoXthF-JPoZBBEo?e=6IFuji]"/>
        <member name="[Table1].[Transcript].&amp;[https://wadhwanifoundation-my.sharepoint.com/:w:/g/personal/vaibhav_mattas_wadhwanifoundation_org/IQDDFveok_7IQrg7QsPNM6yFAWYXmXrP51GcnjBhZbaO-RM?e=8hSxvt]"/>
        <member name="[Table1].[Transcript].&amp;[https://wadhwanifoundation-my.sharepoint.com/:w:/g/personal/vaibhav_mattas_wadhwanifoundation_org/IQDfQD_C5Jc8Q608-tGyN5T-AXjNRK4_-4kkml9LmKSN8Uc?e=MB96sJ]"/>
        <member name="[Table1].[Transcript].&amp;[https://wadhwanifoundation-my.sharepoint.com/:w:/g/personal/vaibhav_mattas_wadhwanifoundation_org/IQDuZN6Lev1ETpJdUloSwWmlATTMWjKqpJQhOU3gO59-vBs?e=Th7YTf]"/>
        <member name="[Table1].[Transcript].&amp;[https://wadhwanifoundation-my.sharepoint.com/:w:/g/personal/vaibhav_mattas_wadhwanifoundation_org/IQDyT9oN_e8HTqJi4421fccAAcb8tz7wde-JNlVjIZApkAc?e=I6QnFw]"/>
        <member name="[Table1].[Transcript].&amp;[https://wadhwanifoundation-my.sharepoint.com/:w:/g/personal/vaibhav_mattas_wadhwanifoundation_org/IQDZZrCN9AEYR4t_Dm_aR6x-ASh2HhdYaKwRUWoTGR9aVUo?e=SNN3Kp]"/>
        <member name="[Table1].[Transcript].&amp;[https://wadhwanifoundation-my.sharepoint.com/personal/vaibhav_mattas_wadhwanifoundation_org/_layouts/15/Doc.aspx?sourcedoc=%7B06DC80ED-ED44-4F08-9D50-427152A30A0A%7D&amp;file=Expert%20Connect%201%20_%20Terrablu%20x%20Wadhwani%20Accelerate.docx&amp;action=default&amp;mobileredirect=true&amp;DefaultItemOpen=1]"/>
        <member name="[Table1].[Transcript].&amp;[https://wadhwanifoundation-my.sharepoint.com/personal/vaibhav_mattas_wadhwanifoundation_org/_layouts/15/Doc.aspx?sourcedoc=%7B1137ED2F-4F5E-42F1-A3F7-0DFB2058E41D%7D&amp;file=Expert%20Connect%202%20_%20Vastra%20App%20x%20Wadhwani%20Accelerate.docx&amp;action=default&amp;mobileredirect=true&amp;DefaultItemOpen=1]"/>
        <member name="[Table1].[Transcript].&amp;[https://wadhwanifoundation-my.sharepoint.com/personal/vaibhav_mattas_wadhwanifoundation_org/_layouts/15/Doc.aspx?sourcedoc=%7B12F654CD-BB18-466D-9989-8504E5CA3B89%7D&amp;file=Expert%20Connect%202%20_%20StemBotix%20x%20Wadhwani%20Accelerate.docx&amp;action=default&amp;mobileredirect=true&amp;DefaultItemOpen=1]"/>
        <member name="[Table1].[Transcript].&amp;[https://wadhwanifoundation-my.sharepoint.com/personal/vaibhav_mattas_wadhwanifoundation_org/_layouts/15/Doc.aspx?sourcedoc=%7B1335BA6A-9B6B-4182-8E5A-3CAA73A707E8%7D&amp;file=Expert%20Connect%201%20_%20Ask%20Eva%20x%20Wadhwani%20Accelerate.docx&amp;action=default&amp;mobileredirect=true&amp;DefaultItemOpen=1]"/>
        <member name="[Table1].[Transcript].&amp;[https://wadhwanifoundation-my.sharepoint.com/personal/vaibhav_mattas_wadhwanifoundation_org/_layouts/15/Doc.aspx?sourcedoc=%7B227132A5-D4B9-497B-8730-C28423B9A0FC%7D&amp;file=Expert%20Connect%201%20_%20Vaultastic%20x%20Wadhwani%20Accelerate.docx&amp;action=default&amp;mobileredirect=true&amp;DefaultItemOpen=1]"/>
        <member name="[Table1].[Transcript].&amp;[https://wadhwanifoundation-my.sharepoint.com/personal/vaibhav_mattas_wadhwanifoundation_org/_layouts/15/Doc.aspx?sourcedoc=%7B275C080B-6C9B-4711-8130-6C4FD072F70C%7D&amp;file=Expert%20Connect%202%20_%20Vaultastic%20x%20Wadhwani%20Accelerate.docx&amp;action=default&amp;mobileredirect=true&amp;DefaultItemOpen=1]"/>
        <member name="[Table1].[Transcript].&amp;[https://wadhwanifoundation-my.sharepoint.com/personal/vaibhav_mattas_wadhwanifoundation_org/_layouts/15/Doc.aspx?sourcedoc=%7B3A5A261A-8162-4DF1-86A5-61CBD6B297B0%7D&amp;file=Expert%20Connect%202%20_%20Raw%20Pharma%20x%20Wadhwani%20Accelerate.docx&amp;action=default&amp;mobileredirect=true&amp;DefaultItemOpen=1]"/>
        <member name="[Table1].[Transcript].&amp;[https://wadhwanifoundation-my.sharepoint.com/personal/vaibhav_mattas_wadhwanifoundation_org/_layouts/15/Doc.aspx?sourcedoc=%7B3CB09A81-5B66-46A0-A872-3B69827CCC78%7D&amp;file=Expert%20Connect%20_%20Green%20Pods%20x%20Wadhwani%20Accelerate.docx&amp;action=default&amp;mobileredirect=true&amp;DefaultItemOpen=1]"/>
        <member name="[Table1].[Transcript].&amp;[https://wadhwanifoundation-my.sharepoint.com/personal/vaibhav_mattas_wadhwanifoundation_org/_layouts/15/Doc.aspx?sourcedoc=%7B3EB033BE-FD2A-487A-A40C-1688B7F3885B%7D&amp;file=Expert%20Connect%201%20_%20Atreya%20Innovations%20x%20Wadhwani%20Accelerate.docx&amp;action=default&amp;mobileredirect=true&amp;DefaultItemOpen=1]"/>
        <member name="[Table1].[Transcript].&amp;[https://wadhwanifoundation-my.sharepoint.com/personal/vaibhav_mattas_wadhwanifoundation_org/_layouts/15/Doc.aspx?sourcedoc=%7B3F2D156A-1EF4-435B-A249-B954083699EA%7D&amp;file=Expert%20Connect%201%20_%20Alpino%20x%20Wadhwani%20Accelerate.docx&amp;action=default&amp;mobileredirect=true&amp;DefaultItemOpen=1]"/>
        <member name="[Table1].[Transcript].&amp;[https://wadhwanifoundation-my.sharepoint.com/personal/vaibhav_mattas_wadhwanifoundation_org/_layouts/15/Doc.aspx?sourcedoc=%7B464DE85B-03A0-4ABE-B4D7-8179EB5F48A6%7D&amp;file=Expert%20Connect%202%20_%20Dhobi%20G%20x%20Wadhwani%20Accelerate.docx&amp;action=default&amp;mobileredirect=true&amp;DefaultItemOpen=1]"/>
        <member name="[Table1].[Transcript].&amp;[https://wadhwanifoundation-my.sharepoint.com/personal/vaibhav_mattas_wadhwanifoundation_org/_layouts/15/Doc.aspx?sourcedoc=%7B478FC1BF-DC0A-46EE-B68B-22ED2BAE5F8D%7D&amp;file=Expert%20Connect%202%20_%20Tikitoro%20x%20Wadhwani%20Accelerate%20(1).docx&amp;action=default&amp;mobileredirect=true&amp;DefaultItemOpen=1]"/>
        <member name="[Table1].[Transcript].&amp;[https://wadhwanifoundation-my.sharepoint.com/personal/vaibhav_mattas_wadhwanifoundation_org/_layouts/15/Doc.aspx?sourcedoc=%7B506C227A-E66F-4F21-8276-BC3E778CA860%7D&amp;file=Expert%20Connect%201%20_%20Exposit%20Immersive%20Solution%20x%20Wadhwani%20Accelerate.docx&amp;action=default&amp;mobileredirect=true&amp;DefaultItemOpen=1]"/>
        <member name="[Table1].[Transcript].&amp;[https://wadhwanifoundation-my.sharepoint.com/personal/vaibhav_mattas_wadhwanifoundation_org/_layouts/15/Doc.aspx?sourcedoc=%7B51C508BF-A047-4C92-A12B-8DDB9BA6C3A0%7D&amp;file=Expert%20Connect%202%20_%20Leap%20Info%20x%20Wadhwani%20Accelerate.docx&amp;action=default&amp;mobileredirect=true&amp;DefaultItemOpen=1]"/>
        <member name="[Table1].[Transcript].&amp;[https://wadhwanifoundation-my.sharepoint.com/personal/vaibhav_mattas_wadhwanifoundation_org/_layouts/15/Doc.aspx?sourcedoc=%7B55B6A256-6C5E-4380-8E56-3531CA56B8E5%7D&amp;file=Expert%20Connect%20_%20Uravu%20Labs%20x%20Wadhwani%20Accelerate.docx&amp;action=default&amp;mobileredirect=true&amp;DefaultItemOpen=1]"/>
        <member name="[Table1].[Transcript].&amp;[https://wadhwanifoundation-my.sharepoint.com/personal/vaibhav_mattas_wadhwanifoundation_org/_layouts/15/Doc.aspx?sourcedoc=%7B68A2DC3B-0E0A-4E5E-B0ED-A758D5A1BD3E%7D&amp;file=Expert%20Connect%203%20_%20Tikitoro%20x%20Wadhwani%20Accelerate%20(1).docx&amp;action=default&amp;mobileredirect=true&amp;DefaultItemOpen=1]"/>
        <member name="[Table1].[Transcript].&amp;[https://wadhwanifoundation-my.sharepoint.com/personal/vaibhav_mattas_wadhwanifoundation_org/_layouts/15/Doc.aspx?sourcedoc=%7B69BCFBE6-E8A1-4CF3-8134-7D899FB1E56E%7D&amp;file=Expert%20Connect%202%20_%20LeanKloud%20x%20Wadhwani%20Accelerate.docx&amp;action=default&amp;mobileredirect=true&amp;DefaultItemOpen=1]"/>
        <member name="[Table1].[Transcript].&amp;[https://wadhwanifoundation-my.sharepoint.com/personal/vaibhav_mattas_wadhwanifoundation_org/_layouts/15/Doc.aspx?sourcedoc=%7B74A8B764-374D-44A6-85A1-6FE1F44C0AEE%7D&amp;file=Expert%20Connect%201%20_%20Stembotix%20x%20Wadhwani%20Accelerate.docx&amp;action=default&amp;mobileredirect=true&amp;DefaultItemOpen=1]"/>
        <member name="[Table1].[Transcript].&amp;[https://wadhwanifoundation-my.sharepoint.com/personal/vaibhav_mattas_wadhwanifoundation_org/_layouts/15/Doc.aspx?sourcedoc=%7B7767E729-A0AA-4ED9-80F0-F956E2752B2E%7D&amp;file=Expert%20Connect%203%20_%20Vaultastic%20x%20Wadhwani%20Accelerate.docx&amp;action=default&amp;mobileredirect=true&amp;DefaultItemOpen=1]"/>
        <member name="[Table1].[Transcript].&amp;[https://wadhwanifoundation-my.sharepoint.com/personal/vaibhav_mattas_wadhwanifoundation_org/_layouts/15/Doc.aspx?sourcedoc=%7B77A14642-69C9-4034-B7A9-5F11BE139CA2%7D&amp;file=Expert%20Connect%201%20_%20MyHarvest%C2%A0Farms%20x%20Wadhwani%20Accelerate.docx&amp;action=default&amp;mobileredirect=true&amp;DefaultItemOpen=1]"/>
        <member name="[Table1].[Transcript].&amp;[https://wadhwanifoundation-my.sharepoint.com/personal/vaibhav_mattas_wadhwanifoundation_org/_layouts/15/Doc.aspx?sourcedoc=%7B793A2BE1-5139-46E1-8FFF-1C23AC996FAF%7D&amp;file=Expert%20Connect%201%20_%20Padcare%20Labs%20x%20Wadhwani%20Accelerate.docx&amp;action=default&amp;mobileredirect=true&amp;DefaultItemOpen=1]"/>
        <member name="[Table1].[Transcript].&amp;[https://wadhwanifoundation-my.sharepoint.com/personal/vaibhav_mattas_wadhwanifoundation_org/_layouts/15/Doc.aspx?sourcedoc=%7B7FACB423-C9EE-4C28-A77B-D738FED4347D%7D&amp;file=Expert%20Connect%204%20_%20Tikitoro%20x%20Wadhwani%20Accelerate%20(1).docx&amp;action=default&amp;mobileredirect=true&amp;DefaultItemOpen=1]"/>
        <member name="[Table1].[Transcript].&amp;[https://wadhwanifoundation-my.sharepoint.com/personal/vaibhav_mattas_wadhwanifoundation_org/_layouts/15/Doc.aspx?sourcedoc=%7B855DF62C-5226-4C3E-94D7-858B557126ED%7D&amp;file=Expert%20Connect%201%20_%20Velaan%20Mart%20x%20Wadhwani%20Accelerate.docx&amp;action=default&amp;mobileredirect=true&amp;DefaultItemOpen=1]"/>
        <member name="[Table1].[Transcript].&amp;[https://wadhwanifoundation-my.sharepoint.com/personal/vaibhav_mattas_wadhwanifoundation_org/_layouts/15/Doc.aspx?sourcedoc=%7B8F3985D4-D876-4198-BA41-DB54902C7BD8%7D&amp;file=Expert%20Connect%202%20_%20REAGRI%20x%20Wadhwani%20Accelerate.docx&amp;action=default&amp;mobileredirect=true&amp;DefaultItemOpen=1]"/>
        <member name="[Table1].[Transcript].&amp;[https://wadhwanifoundation-my.sharepoint.com/personal/vaibhav_mattas_wadhwanifoundation_org/_layouts/15/Doc.aspx?sourcedoc=%7B965A8195-49E4-47EC-93D9-CCCEE29A9892%7D&amp;file=Expert%20Connect%202%20_%20Airmeds%20x%20Wadhwani%20Accelerate.docx&amp;action=default&amp;mobileredirect=true&amp;DefaultItemOpen=1]"/>
        <member name="[Table1].[Transcript].&amp;[https://wadhwanifoundation-my.sharepoint.com/personal/vaibhav_mattas_wadhwanifoundation_org/_layouts/15/Doc.aspx?sourcedoc=%7B9B813AB0-A1D2-40F8-8753-49F285F365BC%7D&amp;file=Expert%20Connect%201%20_%20Servercake%20x%20Wadhwani%20Accelerate.docx&amp;action=default&amp;mobileredirect=true&amp;DefaultItemOpen=1]"/>
        <member name="[Table1].[Transcript].&amp;[https://wadhwanifoundation-my.sharepoint.com/personal/vaibhav_mattas_wadhwanifoundation_org/_layouts/15/Doc.aspx?sourcedoc=%7BA1C74437-E250-4932-8F0C-07DF7799C82F%7D&amp;file=Expert%20Connect%203%20_%20Qarmatek%20x%20Wadhwani%20Accelerate.docx&amp;action=default&amp;mobileredirect=true&amp;DefaultItemOpen=1]"/>
        <member name="[Table1].[Transcript].&amp;[https://wadhwanifoundation-my.sharepoint.com/personal/vaibhav_mattas_wadhwanifoundation_org/_layouts/15/Doc.aspx?sourcedoc=%7BA2B4FFE4-B0CB-4616-BB01-36BF2FA18E33%7D&amp;file=Expert%20Connect%201%20_%20NutriRasoi%20x%20Wadhwani%20Accelerate%20(1).docx&amp;action=default&amp;mobileredirect=true&amp;DefaultItemOpen=1]"/>
        <member name="[Table1].[Transcript].&amp;[https://wadhwanifoundation-my.sharepoint.com/personal/vaibhav_mattas_wadhwanifoundation_org/_layouts/15/Doc.aspx?sourcedoc=%7BAAE36574-79A5-4554-8AE7-FDDAC4D4B0F8%7D&amp;file=Expert%20Connect%203%20_%20Manufyx%20x%20Wadhwani%20Accelerate.docx&amp;action=default&amp;mobileredirect=true&amp;DefaultItemOpen=1]"/>
        <member name="[Table1].[Transcript].&amp;[https://wadhwanifoundation-my.sharepoint.com/personal/vaibhav_mattas_wadhwanifoundation_org/_layouts/15/Doc.aspx?sourcedoc=%7BB0E1E151-19FE-4BFF-9272-27EB663F8C4F%7D&amp;file=Expert%20Connect%201%20_%20Bebe%20Burp%20x%20Wadhwani%20Accelerate%20(1).docx&amp;action=default&amp;mobileredirect=true&amp;DefaultItemOpen=1]"/>
        <member name="[Table1].[Transcript].&amp;[https://wadhwanifoundation-my.sharepoint.com/personal/vaibhav_mattas_wadhwanifoundation_org/_layouts/15/Doc.aspx?sourcedoc=%7BB4ABD0DA-4096-4E54-B0F5-D29C4C6B11CB%7D&amp;file=Expert%20Connect%201%20_%20Rupiya%20Finnovations%20x%20Wadhwani%20Accelerate.docx&amp;action=default&amp;mobileredirect=true&amp;DefaultItemOpen=1]"/>
        <member name="[Table1].[Transcript].&amp;[https://wadhwanifoundation-my.sharepoint.com/personal/vaibhav_mattas_wadhwanifoundation_org/_layouts/15/Doc.aspx?sourcedoc=%7BB5AC8EEA-41C3-411F-8232-02A913E8289B%7D&amp;file=Expert%20Connect%201%20_%20REAGRI%20x%20Wadhwani%20Accelerate.docx&amp;action=default&amp;mobileredirect=true&amp;DefaultItemOpen=1]"/>
        <member name="[Table1].[Transcript].&amp;[https://wadhwanifoundation-my.sharepoint.com/personal/vaibhav_mattas_wadhwanifoundation_org/_layouts/15/Doc.aspx?sourcedoc=%7BB5FD5442-0B6F-4ACE-BB5B-70569F161B5B%7D&amp;file=Expert%20Connect%203%20_%20Bebe%20Burp%20x%20Wadhwani%20Accelerate%20(1).docx&amp;action=default&amp;mobileredirect=true&amp;DefaultItemOpen=1]"/>
        <member name="[Table1].[Transcript].&amp;[https://wadhwanifoundation-my.sharepoint.com/personal/vaibhav_mattas_wadhwanifoundation_org/_layouts/15/Doc.aspx?sourcedoc=%7BB9A87112-E4E6-44FA-81C0-DCD5FEEB7F90%7D&amp;file=Expert%20Connect%201%20_%20Hreedan%20Lifestyle%20x%20Wadhwani%20Accelerate.docx&amp;action=default&amp;mobileredirect=true&amp;DefaultItemOpen=1]"/>
        <member name="[Table1].[Transcript].&amp;[https://wadhwanifoundation-my.sharepoint.com/personal/vaibhav_mattas_wadhwanifoundation_org/_layouts/15/Doc.aspx?sourcedoc=%7BBF764CCC-E601-4FCA-B1E6-A45FFE6CA586%7D&amp;file=Expert%20Connect%201%20_%20Qarmatek%20x%20Wadhwani%20Accelerate.docx&amp;action=default&amp;mobileredirect=true&amp;DefaultItemOpen=1]"/>
        <member name="[Table1].[Transcript].&amp;[https://wadhwanifoundation-my.sharepoint.com/personal/vaibhav_mattas_wadhwanifoundation_org/_layouts/15/Doc.aspx?sourcedoc=%7BD090E6D8-2847-453C-BA87-3C2D6296B42F%7D&amp;file=Expert%20Connect%201%20_%20Botminds.ai%20x%20Wadhwani%20Accelerate.docx&amp;action=default&amp;mobileredirect=true&amp;DefaultItemOpen=1]"/>
        <member name="[Table1].[Transcript].&amp;[https://wadhwanifoundation-my.sharepoint.com/personal/vaibhav_mattas_wadhwanifoundation_org/_layouts/15/Doc.aspx?sourcedoc=%7BD6161283-CA3E-4A20-B503-CBE867467E02%7D&amp;file=Expert%20Connect%203%20_%20Atreya%20Innovations%20x%20Wadhwani%20Accelerate.docx&amp;action=default&amp;mobileredirect=true&amp;DefaultItemOpen=1]"/>
        <member name="[Table1].[Transcript].&amp;[https://wadhwanifoundation-my.sharepoint.com/personal/vaibhav_mattas_wadhwanifoundation_org/_layouts/15/Doc.aspx?sourcedoc=%7BD87A12DB-83E1-433D-9C42-CB35B5E10116%7D&amp;file=Expert%20Connect%203%20_%20Stembotix%20x%20Wadhwani%20Accelerate%20(1).docx&amp;action=default&amp;mobileredirect=true&amp;DefaultItemOpen=1]"/>
        <member name="[Table1].[Transcript].&amp;[https://wadhwanifoundation-my.sharepoint.com/personal/vaibhav_mattas_wadhwanifoundation_org/_layouts/15/Doc.aspx?sourcedoc=%7BDA3353B6-5E40-4730-ACE4-686DD5BA9B82%7D&amp;file=Expert%20Connect%202%20_%20Aeronero%C2%A0Solutions%20x%20Wadhwani%20Accelerate%20(1).docx&amp;action=default&amp;mobileredirect=true&amp;DefaultItemOpen=1]"/>
        <member name="[Table1].[Transcript].&amp;[https://wadhwanifoundation-my.sharepoint.com/personal/vaibhav_mattas_wadhwanifoundation_org/_layouts/15/Doc.aspx?sourcedoc=%7BDC63F2CE-F96F-437E-9A35-18B61FAEFD13%7D&amp;file=Expert%20Connect%201%20_%20Sarumam%20Pharmacy%20x%20Wadhwani%20Accelerate.docx&amp;action=default&amp;mobileredirect=true&amp;DefaultItemOpen=1]"/>
        <member name="[Table1].[Transcript].&amp;[https://wadhwanifoundation-my.sharepoint.com/personal/vaibhav_mattas_wadhwanifoundation_org/_layouts/15/Doc.aspx?sourcedoc=%7BDE756B6E-801C-4015-9596-594C05599706%7D&amp;file=Expert%20Connect%201%20_%20Tikitoro%20x%20Wadhwani%20Accelerate%20(1).docx&amp;action=default&amp;mobileredirect=true&amp;DefaultItemOpen=1]"/>
        <member name="[Table1].[Transcript].&amp;[https://wadhwanifoundation-my.sharepoint.com/personal/vaibhav_mattas_wadhwanifoundation_org/_layouts/15/Doc.aspx?sourcedoc=%7BDEC524CB-A9F1-4086-84CD-E65D483BE100%7D&amp;file=Expert%20Connect%201%20_%20Agriown%C2%A0Farmtech%20x%20Wadhwani%20Accelerate.docx&amp;action=default&amp;mobileredirect=true&amp;DefaultItemOpen=1]"/>
        <member name="[Table1].[Transcript].&amp;[https://wadhwanifoundation-my.sharepoint.com/personal/vaibhav_mattas_wadhwanifoundation_org/_layouts/15/Doc.aspx?sourcedoc=%7BDFC35B22-1044-40A6-BD39-55146A571F01%7D&amp;file=Expert%20Connect%201%20_%20Gyrodrive%20x%20Wadhwani%20Accelerate.docx&amp;action=default&amp;mobileredirect=true&amp;DefaultItemOpen=1]"/>
        <member name="[Table1].[Transcript].&amp;[https://wadhwanifoundation-my.sharepoint.com/personal/vaibhav_mattas_wadhwanifoundation_org/_layouts/15/Doc.aspx?sourcedoc=%7BE0F85605-7132-41FB-A586-15472321A6FB%7D&amp;file=Expert%20Connect%201%20_%20Vastra%20App%20x%20Wadhwani%20Accelerate.docx&amp;action=default&amp;mobileredirect=true&amp;DefaultItemOpen=1]"/>
        <member name="[Table1].[Transcript].&amp;[https://wadhwanifoundation-my.sharepoint.com/personal/vaibhav_mattas_wadhwanifoundation_org/_layouts/15/Doc.aspx?sourcedoc=%7BE48FCC17-0BE3-4191-9D14-952F3CC18861%7D&amp;file=Expert%20Connect%204%20_%20Qarmatek%20x%20Wadhwani%20Accelerate%20(1).docx&amp;action=default&amp;mobileredirect=true&amp;DefaultItemOpen=1]"/>
        <member name="[Table1].[Transcript].&amp;[https://wadhwanifoundation-my.sharepoint.com/personal/vaibhav_mattas_wadhwanifoundation_org/_layouts/15/Doc.aspx?sourcedoc=%7BE520159F-A1FD-4863-A7AD-BF8EAB0A1153%7D&amp;file=Expert%20Connect%201%20_%20Leap%20Info%20x%20Wadhwani%20Accelerate.docx&amp;action=default&amp;mobileredirect=true&amp;DefaultItemOpen=1]"/>
        <member name="[Table1].[Transcript].&amp;[https://wadhwanifoundation-my.sharepoint.com/personal/vaibhav_mattas_wadhwanifoundation_org/_layouts/15/Doc.aspx?sourcedoc=%7BE7991494-6037-4784-9CB0-1BAD523742E5%7D&amp;file=Expert%20Connect%202%20_%20Manufyx%20x%20Wadhwani%20Accelerate.docx&amp;action=default&amp;mobileredirect=true&amp;DefaultItemOpen=1]"/>
        <member name="[Table1].[Transcript].&amp;[https://wadhwanifoundation-my.sharepoint.com/personal/vaibhav_mattas_wadhwanifoundation_org/_layouts/15/Doc.aspx?sourcedoc=%7BEA411141-DED8-46C4-9FF4-65AEBBF4FB33%7D&amp;file=Expert%20Connect%201%20_%20Frontierz%20x%20Wadhwani%20Accelerate.docx&amp;action=default&amp;mobileredirect=true&amp;DefaultItemOpen=1]"/>
        <member name="[Table1].[Transcript].&amp;[https://wadhwanifoundation-my.sharepoint.com/personal/vaibhav_mattas_wadhwanifoundation_org/_layouts/15/Doc.aspx?sourcedoc=%7BEAC985A3-3EB2-4DE1-9445-2F5FCB700CF4%7D&amp;file=Expert%20Connect%203%20_%20Raw%20Pharma%20x%20Wadhwani%20Accelerate.docx&amp;action=default&amp;mobileredirect=true&amp;DefaultItemOpen=1]"/>
        <member name="[Table1].[Transcript].&amp;[https://wadhwanifoundation-my.sharepoint.com/personal/vaibhav_mattas_wadhwanifoundation_org/_layouts/15/Doc.aspx?sourcedoc=%7BECCC3279-322F-4F62-95EB-376408D83B42%7D&amp;file=Expert%20Connect%204%20_%20Eximburg%20International%20x%20Wadhwani%20Accelerate%20(2).docx&amp;action=default&amp;mobileredirect=true&amp;DefaultItemOpen=1]"/>
        <member name="[Table1].[Transcript].&amp;[https://wadhwanifoundation-my.sharepoint.com/personal/vaibhav_mattas_wadhwanifoundation_org/_layouts/15/Doc.aspx?sourcedoc=%7BF6C57712-8E13-40CF-82FA-AF421142A75E%7D&amp;file=Expert%20Connect%202%20_%20Qarmatek%20x%20Wadhwani%20Accelerate.docx&amp;action=default&amp;mobileredirect=true&amp;DefaultItemOpen=1]"/>
        <member name="[Table1].[Transcript].&amp;[https://wadhwanifoundation-my.sharepoint.com/personal/vaibhav_mattas_wadhwanifoundation_org/_layouts/15/Doc.aspx?sourcedoc=%7BF9ADAE59-ADF6-483B-B40B-65AFEF07CB4A%7D&amp;file=Expert%20Connect%201%20_%20Airmeds%20x%20Wadhwani%20Accelerate.docx&amp;action=default&amp;mobileredirect=true&amp;DefaultItemOpen=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of Meetings"/>
    <pivotHierarchy dragToData="1" caption="Unique Ventures"/>
    <pivotHierarchy dragToData="1"/>
    <pivotHierarchy dragToData="1" caption="Unique Mentors"/>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_Session_Management_Tracker.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9448B2-4A62-433D-9C13-87D03EEF20A4}" name="SessionTracker" displayName="SessionTracker" ref="A1:AI125" totalsRowShown="0" headerRowDxfId="36" dataDxfId="35">
  <autoFilter ref="A1:AI125" xr:uid="{609448B2-4A62-433D-9C13-87D03EEF20A4}"/>
  <tableColumns count="35">
    <tableColumn id="1" xr3:uid="{39DED0EF-4F86-411D-97F7-25D193CFE120}" name="Meeting ID" dataDxfId="34"/>
    <tableColumn id="3" xr3:uid="{13B22C1B-3F54-4F66-8F79-0B3DBE3D2FFF}" name="Venture Name" dataDxfId="33"/>
    <tableColumn id="4" xr3:uid="{D047D9B9-AA69-4212-95DC-219E2C5CA8F3}" name="Hub" dataDxfId="32"/>
    <tableColumn id="5" xr3:uid="{4709BEA6-6C0A-4102-BB0D-E47BAABC1263}" name="Program Tier" dataDxfId="31"/>
    <tableColumn id="6" xr3:uid="{5FA11F35-84CC-4144-8288-CF1666BA5507}" name="Mentor Name" dataDxfId="30"/>
    <tableColumn id="14" xr3:uid="{4650A2E8-8674-4467-9B57-D778FFB06225}" name="Ask" dataDxfId="29"/>
    <tableColumn id="7" xr3:uid="{60FD8F7F-8FDE-4EC5-A6C4-A3672CF08CFB}" name="Session Type" dataDxfId="28"/>
    <tableColumn id="31" xr3:uid="{C0FF32EC-F17F-4FC6-8DEB-DF75C0D43178}" name="Requested for Mentors On" dataDxfId="27"/>
    <tableColumn id="34" xr3:uid="{8B5F4AF4-05B5-481C-9033-C8828ADBC192}" name="Shortlisted Mentors On" dataDxfId="26"/>
    <tableColumn id="33" xr3:uid="{CEBD68CB-66F1-46E3-895D-E42BD2A47C9E}" name="Suggested Mentors On" dataDxfId="25"/>
    <tableColumn id="32" xr3:uid="{1562907D-453C-43F7-B9B8-411F9885B840}" name="Preferred Mentor Selected On" dataDxfId="24"/>
    <tableColumn id="2" xr3:uid="{28FB12CD-96BD-416C-9668-5608BF50CC05}" name="Meeting Date" dataDxfId="23"/>
    <tableColumn id="8" xr3:uid="{6355A9A7-3A53-4DF6-8D69-BBC6FB065517}" name="Scheduled Time" dataDxfId="22"/>
    <tableColumn id="9" xr3:uid="{909C1A9B-1FA6-45F2-89C0-C6F5DA884A2F}" name="Duration (min)" dataDxfId="21"/>
    <tableColumn id="10" xr3:uid="{A841EA59-7F6C-449D-8BBB-ABFE14D69EB9}" name="Session Status" dataDxfId="20"/>
    <tableColumn id="11" xr3:uid="{44E9016A-22F6-41A3-B392-71094E734B9E}" name="Meeting Summary" dataDxfId="19"/>
    <tableColumn id="12" xr3:uid="{78EB71EA-F72E-482D-9222-C92DB74608F5}" name="Next Steps / Action Items" dataDxfId="18"/>
    <tableColumn id="13" xr3:uid="{80D91377-B6D0-4FAF-9611-FB850231BB35}" name="Mentor Brief" dataDxfId="17"/>
    <tableColumn id="15" xr3:uid="{1F510AE2-9922-47BB-8458-A8CA203AE051}" name="Recording" dataDxfId="16"/>
    <tableColumn id="16" xr3:uid="{20DE6DC3-9177-431D-9CAB-E47F71CF5372}" name="Transcript" dataDxfId="15"/>
    <tableColumn id="17" xr3:uid="{9A5E65ED-722C-43B9-90E6-A3BD30CF692B}" name="Follow-Up Required?" dataDxfId="14"/>
    <tableColumn id="18" xr3:uid="{C9C8AA02-55F5-4A36-BB05-929A5E81A4BC}" name="Follow-Up Owner" dataDxfId="13"/>
    <tableColumn id="19" xr3:uid="{8EDC8007-5955-44DD-ACDA-D05BFC96379B}" name="Follow-Up Date" dataDxfId="12"/>
    <tableColumn id="20" xr3:uid="{397A2F4E-8100-4456-A0F8-FAFCA642FF19}" name="Follow-Up Status" dataDxfId="11"/>
    <tableColumn id="21" xr3:uid="{09A5460E-0B30-4692-9575-8007915443D5}" name="Feedback Rating (1-5)" dataDxfId="10"/>
    <tableColumn id="22" xr3:uid="{5D8B6BDD-9060-4ADE-A79B-0B5A29BECC5E}" name="Feedback Comments" dataDxfId="9"/>
    <tableColumn id="23" xr3:uid="{31320DFB-5A39-4AB9-A3CE-9BC50F798687}" name="Escalations" dataDxfId="8"/>
    <tableColumn id="24" xr3:uid="{D7BC9BCE-2A2F-4DB9-AADD-A21E18EFD5FF}" name="RN Team Member" dataDxfId="7"/>
    <tableColumn id="25" xr3:uid="{44A0E28B-FAA0-4BFC-A9B1-78E25FEBF5F8}" name="Connected by US" dataDxfId="6"/>
    <tableColumn id="26" xr3:uid="{36888B70-5548-4090-831A-67FE898E3071}" name="Session Paid or Probono" dataDxfId="5"/>
    <tableColumn id="35" xr3:uid="{FDD26E74-ECE1-4857-9637-B547F854EC40}" name="Feedback ID" dataDxfId="4"/>
    <tableColumn id="36" xr3:uid="{EBACB92B-39AA-4415-B5DF-0DDF7D5A9EA2}" name="Feedback reachout Status" dataDxfId="3"/>
    <tableColumn id="37" xr3:uid="{C1784BAC-9E2B-4302-A7D7-D067A523FE3C}" name="Feedback Reachout Remarks" dataDxfId="2"/>
    <tableColumn id="27" xr3:uid="{27E5C8EF-95E9-4D89-9179-C50C9D4C06E9}" name="Preferred Mentor Selected On (Week)" dataDxfId="1">
      <calculatedColumnFormula>IF(ISBLANK(SessionTracker[[#This Row],[Preferred Mentor Selected On]]),"",SessionTracker[[#This Row],[Preferred Mentor Selected On]]-WEEKDAY(SessionTracker[[#This Row],[Preferred Mentor Selected On]],2)+1)</calculatedColumnFormula>
    </tableColumn>
    <tableColumn id="28" xr3:uid="{F3F13703-375E-4F27-837F-D02A35A34191}" name="Meeting Date (Week)" dataDxfId="0">
      <calculatedColumnFormula>IF(ISBLANK(SessionTracker[[#This Row],[Meeting Date]]),"",SessionTracker[[#This Row],[Meeting Date]]-WEEKDAY(SessionTracker[[#This Row],[Meeting Date]],2)+1)</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631ECD-112A-44EB-8E99-01601462D7D8}" name="Table2" displayName="Table2" ref="B1:I5" totalsRowShown="0">
  <autoFilter ref="B1:I5" xr:uid="{A7631ECD-112A-44EB-8E99-01601462D7D8}"/>
  <tableColumns count="8">
    <tableColumn id="1" xr3:uid="{26DF0626-3EA2-4D25-9365-F73C7AC301CB}" name="Meeting ID"/>
    <tableColumn id="2" xr3:uid="{05E9E629-8247-4D42-A13C-F703677FC25D}" name="Invoice Status"/>
    <tableColumn id="3" xr3:uid="{3CB53BC5-88AB-41E9-B23A-9849FEBD3A7D}" name="Invoice Shared by Mentor On"/>
    <tableColumn id="4" xr3:uid="{3BBF5961-841E-4BA5-AABC-A6B5FB504241}" name="Invoice Shared with Program Team On"/>
    <tableColumn id="5" xr3:uid="{555B7445-805D-4506-9689-1AD8DDD4D502}" name="Approved by Program Team"/>
    <tableColumn id="6" xr3:uid="{BA80DADC-8B37-43F8-872C-6AA35D4481C5}" name="Invoice Shared with Finance Team On"/>
    <tableColumn id="7" xr3:uid="{0F6E1181-C1B2-4E3A-9AC0-607D1B6914F3}" name="Paid On"/>
    <tableColumn id="8" xr3:uid="{878AF542-6937-4771-9E1E-4262B6DA3405}" name="Invoice Number"/>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adhwanifoundation-my.sharepoint.com/:w:/g/personal/vaibhav_mattas_wadhwanifoundation_org/IQDEntZ1qXtzSKmVprEOhO_sAR0J9ySQomj7V-6lZJlPVpw?e=JTIMZt" TargetMode="External"/><Relationship Id="rId21" Type="http://schemas.openxmlformats.org/officeDocument/2006/relationships/hyperlink" Target="https://wadhwanifoundation-my.sharepoint.com/:w:/g/personal/vaibhav_mattas_wadhwanifoundation_org/IQDC4KGY7oo6TLwIB3pc3MNWAZzWOp5xpBtKK4WhXxIdgTc?e=wLlUru" TargetMode="External"/><Relationship Id="rId42" Type="http://schemas.openxmlformats.org/officeDocument/2006/relationships/hyperlink" Target="https://wadhwanifoundation-my.sharepoint.com/:w:/g/personal/vaibhav_mattas_wadhwanifoundation_org/IQDF4-E1BDYoTZ7uzuD6mQtWATdPtilpSyCdaax4gnVJQgM?e=2PpeMl" TargetMode="External"/><Relationship Id="rId63" Type="http://schemas.openxmlformats.org/officeDocument/2006/relationships/hyperlink" Target="../../../../../vaibhav_mattas_wadhwanifoundation_org/_layouts/15/Doc.aspx?sourcedoc=%7B1335BA6A-9B6B-4182-8E5A-3CAA73A707E8%7D&amp;file=Expert%20Connect%201%20_%20Ask%20Eva%20x%20Wadhwani%20Accelerate.docx&amp;action=default&amp;mobileredirect=true&amp;DefaultItemOpen=1" TargetMode="External"/><Relationship Id="rId84" Type="http://schemas.openxmlformats.org/officeDocument/2006/relationships/hyperlink" Target="https://wadhwanifoundation-my.sharepoint.com/:w:/g/personal/vaibhav_mattas_wadhwanifoundation_org/IQAvAuZhOd_9T4BsP2omVSmOAQnwj4bx6mwAtPtXJ1GHkOw?e=pDfcjm" TargetMode="External"/><Relationship Id="rId138" Type="http://schemas.openxmlformats.org/officeDocument/2006/relationships/hyperlink" Target="../../../../../vaibhav_mattas_wadhwanifoundation_org/_layouts/15/Doc.aspx?sourcedoc=%7B793A2BE1-5139-46E1-8FFF-1C23AC996FAF%7D&amp;file=Expert%20Connect%201%20_%20Padcare%20Labs%20x%20Wadhwani%20Accelerate.docx&amp;action=default&amp;mobileredirect=true&amp;DefaultItemOpen=1" TargetMode="External"/><Relationship Id="rId159" Type="http://schemas.openxmlformats.org/officeDocument/2006/relationships/hyperlink" Target="https://wadhwanifoundation-my.sharepoint.com/:w:/g/personal/vaibhav_mattas_wadhwanifoundation_org/IQAdZs9t7AXJSJiuyScb8QNrAQAaCq6bzzE793_QcnCQFjk?e=ziFfm2" TargetMode="External"/><Relationship Id="rId107" Type="http://schemas.openxmlformats.org/officeDocument/2006/relationships/hyperlink" Target="https://wadhwanifoundation-my.sharepoint.com/:w:/g/personal/vaibhav_mattas_wadhwanifoundation_org/IQBeIeknlWepTKnondxWZWQbAYuEvsWDGRPb4u0koY2C74g?e=a3V9bp" TargetMode="External"/><Relationship Id="rId11" Type="http://schemas.openxmlformats.org/officeDocument/2006/relationships/hyperlink" Target="https://wadhwanifoundation-my.sharepoint.com/:w:/g/personal/vaibhav_mattas_wadhwanifoundation_org/IQCnxR8g4IfHTqFSx0yVnPn7AVQQCm1eqqNKhxR4y9DS2x0?e=ZAhRgE" TargetMode="External"/><Relationship Id="rId32" Type="http://schemas.openxmlformats.org/officeDocument/2006/relationships/hyperlink" Target="https://wadhwanifoundation-my.sharepoint.com/:w:/g/personal/vaibhav_mattas_wadhwanifoundation_org/IQCYJPKobpZYT6tAP9BqBdXZAb-RLDP14Ahm-K4eaA-xJK8?e=sn1yob" TargetMode="External"/><Relationship Id="rId53" Type="http://schemas.openxmlformats.org/officeDocument/2006/relationships/hyperlink" Target="https://wadhwanifoundation-my.sharepoint.com/:w:/g/personal/vaibhav_mattas_wadhwanifoundation_org/IQDa1r0utWpTT5RBqq0wt3nsAb0QOnh13iYOZlZmb-yHksg?e=a9UwiN" TargetMode="External"/><Relationship Id="rId74" Type="http://schemas.openxmlformats.org/officeDocument/2006/relationships/hyperlink" Target="https://wadhwanifoundation-my.sharepoint.com/:w:/g/personal/vaibhav_mattas_wadhwanifoundation_org/IQDLx4NgwKMOQaHj-BDBrtdVAQPd1ZNZMWPZmVu-aXoN_lI?e=BOoMe9" TargetMode="External"/><Relationship Id="rId128" Type="http://schemas.openxmlformats.org/officeDocument/2006/relationships/hyperlink" Target="https://wadhwanifoundation-my.sharepoint.com/:w:/g/personal/vaibhav_mattas_wadhwanifoundation_org/IQAE9FtK-OICTriM_z3vlsMVAYs2Wa-ArH0bgMCQG8jwYWk?e=Perv6Q" TargetMode="External"/><Relationship Id="rId149" Type="http://schemas.openxmlformats.org/officeDocument/2006/relationships/hyperlink" Target="../../../../../vaibhav_mattas_wadhwanifoundation_org/_layouts/15/Doc.aspx?sourcedoc=%7B51C508BF-A047-4C92-A12B-8DDB9BA6C3A0%7D&amp;file=Expert%20Connect%202%20_%20Leap%20Info%20x%20Wadhwani%20Accelerate.docx&amp;action=default&amp;mobileredirect=true&amp;DefaultItemOpen=1" TargetMode="External"/><Relationship Id="rId5" Type="http://schemas.openxmlformats.org/officeDocument/2006/relationships/hyperlink" Target="https://wadhwanifoundation-my.sharepoint.com/:w:/g/personal/vaibhav_mattas_wadhwanifoundation_org/IQBpxhGMJzkbTp34pJessc23Aa3rzsCdXdNH4N6kBlzRYic?e=Lp4nb3" TargetMode="External"/><Relationship Id="rId95" Type="http://schemas.openxmlformats.org/officeDocument/2006/relationships/hyperlink" Target="../../../../../vaibhav_mattas_wadhwanifoundation_org/_layouts/15/Doc.aspx?sourcedoc=%7BEAC985A3-3EB2-4DE1-9445-2F5FCB700CF4%7D&amp;file=Expert%20Connect%203%20_%20Raw%20Pharma%20x%20Wadhwani%20Accelerate.docx&amp;action=default&amp;mobileredirect=true&amp;DefaultItemOpen=1" TargetMode="External"/><Relationship Id="rId160" Type="http://schemas.openxmlformats.org/officeDocument/2006/relationships/hyperlink" Target="https://wadhwanifoundation-my.sharepoint.com/:w:/g/personal/vaibhav_mattas_wadhwanifoundation_org/IQBzVWqnKWnFQLMOutaYSeLcAcVlt1QnlHs9WjxRalrpgSY?e=bCmHfp" TargetMode="External"/><Relationship Id="rId22" Type="http://schemas.openxmlformats.org/officeDocument/2006/relationships/hyperlink" Target="../../../../../vaibhav_mattas_wadhwanifoundation_org/_layouts/15/Doc.aspx?sourcedoc=%7B227132A5-D4B9-497B-8730-C28423B9A0FC%7D&amp;file=Expert%20Connect%201%20_%20Vaultastic%20x%20Wadhwani%20Accelerate.docx&amp;action=default&amp;mobileredirect=true&amp;DefaultItemOpen=1" TargetMode="External"/><Relationship Id="rId43" Type="http://schemas.openxmlformats.org/officeDocument/2006/relationships/hyperlink" Target="https://wadhwanifoundation-my.sharepoint.com/:w:/g/personal/vaibhav_mattas_wadhwanifoundation_org/IQCK7Dv-ySflS5bOQP6Fu0YBAYMpENl5x6ApB7uEPR37XZM?e=tLUAkS" TargetMode="External"/><Relationship Id="rId64" Type="http://schemas.openxmlformats.org/officeDocument/2006/relationships/hyperlink" Target="https://wadhwanifoundation-my.sharepoint.com/:w:/g/personal/vaibhav_mattas_wadhwanifoundation_org/IQDZZdjck7EMRp45NFwuF9jFAdp3qR-A0XeFvy4Ex5ZXckc?e=uoGSN7" TargetMode="External"/><Relationship Id="rId118" Type="http://schemas.openxmlformats.org/officeDocument/2006/relationships/hyperlink" Target="../../../../../vaibhav_mattas_wadhwanifoundation_org/_layouts/15/Doc.aspx?sourcedoc=%7BE48FCC17-0BE3-4191-9D14-952F3CC18861%7D&amp;file=Expert%20Connect%204%20_%20Qarmatek%20x%20Wadhwani%20Accelerate%20(1).docx&amp;action=default&amp;mobileredirect=true&amp;DefaultItemOpen=1" TargetMode="External"/><Relationship Id="rId139" Type="http://schemas.openxmlformats.org/officeDocument/2006/relationships/hyperlink" Target="https://wadhwanifoundation-my.sharepoint.com/:w:/g/personal/vaibhav_mattas_wadhwanifoundation_org/IQCD73M9JPXPQoSMaNQHfnk_Ac5yPyYsosgwm5UYGrQXU2k?e=wDPuwB" TargetMode="External"/><Relationship Id="rId85" Type="http://schemas.openxmlformats.org/officeDocument/2006/relationships/hyperlink" Target="https://wadhwanifoundation-my.sharepoint.com/:w:/g/personal/vaibhav_mattas_wadhwanifoundation_org/IQBMGkgmejc3SZmZfVZ6JTPTAZOdotRUKTLBSdInewZiNBw?e=To6nPZ" TargetMode="External"/><Relationship Id="rId150" Type="http://schemas.openxmlformats.org/officeDocument/2006/relationships/hyperlink" Target="https://wadhwanifoundation-my.sharepoint.com/:w:/g/personal/vaibhav_mattas_wadhwanifoundation_org/IQBCYmwTYXD6Q7Gb4J-6AwpeAdBtUy7QQ-ogLpIoLiUroc4?e=9ez7ja" TargetMode="External"/><Relationship Id="rId12" Type="http://schemas.openxmlformats.org/officeDocument/2006/relationships/hyperlink" Target="https://wadhwanifoundation-my.sharepoint.com/:w:/g/personal/vaibhav_mattas_wadhwanifoundation_org/IQAfJk_2neTGQK5YHFMIAlLGAUfWjCa5iEm2rLEoi9dM9TY?e=ENjPdD" TargetMode="External"/><Relationship Id="rId17" Type="http://schemas.openxmlformats.org/officeDocument/2006/relationships/hyperlink" Target="https://wadhwanifoundation-my.sharepoint.com/:w:/g/personal/vaibhav_mattas_wadhwanifoundation_org/IQBST_60ssnrRYB-lFy3lSjiAY4Jcdmh7_N9HdlvJb4LVXE?e=3t8aog" TargetMode="External"/><Relationship Id="rId33" Type="http://schemas.openxmlformats.org/officeDocument/2006/relationships/hyperlink" Target="../../../../../vaibhav_mattas_wadhwanifoundation_org/_layouts/15/Doc.aspx?sourcedoc=%7B3EB033BE-FD2A-487A-A40C-1688B7F3885B%7D&amp;file=Expert%20Connect%201%20_%20Atreya%20Innovations%20x%20Wadhwani%20Accelerate.docx&amp;action=default&amp;mobileredirect=true&amp;DefaultItemOpen=1" TargetMode="External"/><Relationship Id="rId38" Type="http://schemas.openxmlformats.org/officeDocument/2006/relationships/hyperlink" Target="../../../../../vaibhav_mattas_wadhwanifoundation_org/_layouts/15/Doc.aspx?sourcedoc=%7BDFC35B22-1044-40A6-BD39-55146A571F01%7D&amp;file=Expert%20Connect%201%20_%20Gyrodrive%20x%20Wadhwani%20Accelerate.docx&amp;action=default&amp;mobileredirect=true&amp;DefaultItemOpen=1" TargetMode="External"/><Relationship Id="rId59" Type="http://schemas.openxmlformats.org/officeDocument/2006/relationships/hyperlink" Target="https://wadhwanifoundation-my.sharepoint.com/:w:/g/personal/vaibhav_mattas_wadhwanifoundation_org/IQDtHynOPJHCQZg_1RxeKwr7AUIuvB0i8kVFYueFEY5XzFE?e=aJC2mW" TargetMode="External"/><Relationship Id="rId103" Type="http://schemas.openxmlformats.org/officeDocument/2006/relationships/hyperlink" Target="https://wadhwanifoundation-my.sharepoint.com/:w:/g/personal/vaibhav_mattas_wadhwanifoundation_org/IQAxX1midaKmSKgE3-CXew3qAbHa8dBqV07Bi58Vcvvw_aA?e=eguaWB" TargetMode="External"/><Relationship Id="rId108" Type="http://schemas.openxmlformats.org/officeDocument/2006/relationships/hyperlink" Target="../../../../../vaibhav_mattas_wadhwanifoundation_org/_layouts/15/Doc.aspx?sourcedoc=%7B506C227A-E66F-4F21-8276-BC3E778CA860%7D&amp;file=Expert%20Connect%201%20_%20Exposit%20Immersive%20Solution%20x%20Wadhwani%20Accelerate.docx&amp;action=default&amp;mobileredirect=true&amp;DefaultItemOpen=1" TargetMode="External"/><Relationship Id="rId124" Type="http://schemas.openxmlformats.org/officeDocument/2006/relationships/hyperlink" Target="../../../../../vaibhav_mattas_wadhwanifoundation_org/_layouts/15/Doc.aspx?sourcedoc=%7BE0F85605-7132-41FB-A586-15472321A6FB%7D&amp;file=Expert%20Connect%201%20_%20Vastra%20App%20x%20Wadhwani%20Accelerate.docx&amp;action=default&amp;mobileredirect=true&amp;DefaultItemOpen=1" TargetMode="External"/><Relationship Id="rId129" Type="http://schemas.openxmlformats.org/officeDocument/2006/relationships/hyperlink" Target="https://wadhwanifoundation-my.sharepoint.com/:w:/g/personal/vaibhav_mattas_wadhwanifoundation_org/IQDnykQjLrDqS5hBwwuqeY4NASXGG4wuQVGhyQKX2t2XA5Y?e=alNrZg" TargetMode="External"/><Relationship Id="rId54" Type="http://schemas.openxmlformats.org/officeDocument/2006/relationships/hyperlink" Target="../../../../../vaibhav_mattas_wadhwanifoundation_org/_layouts/15/Doc.aspx?sourcedoc=%7B74A8B764-374D-44A6-85A1-6FE1F44C0AEE%7D&amp;file=Expert%20Connect%201%20_%20Stembotix%20x%20Wadhwani%20Accelerate.docx&amp;action=default&amp;mobileredirect=true&amp;DefaultItemOpen=1" TargetMode="External"/><Relationship Id="rId70" Type="http://schemas.openxmlformats.org/officeDocument/2006/relationships/hyperlink" Target="../../../../../vaibhav_mattas_wadhwanifoundation_org/_layouts/15/Doc.aspx?sourcedoc=%7B77A14642-69C9-4034-B7A9-5F11BE139CA2%7D&amp;file=Expert%20Connect%201%20_%20MyHarvest%C2%A0Farms%20x%20Wadhwani%20Accelerate.docx&amp;action=default&amp;mobileredirect=true&amp;DefaultItemOpen=1" TargetMode="External"/><Relationship Id="rId75" Type="http://schemas.openxmlformats.org/officeDocument/2006/relationships/hyperlink" Target="../../../../../vaibhav_mattas_wadhwanifoundation_org/_layouts/15/Doc.aspx?sourcedoc=%7B55B6A256-6C5E-4380-8E56-3531CA56B8E5%7D&amp;file=Expert%20Connect%20_%20Uravu%20Labs%20x%20Wadhwani%20Accelerate.docx&amp;action=default&amp;mobileredirect=true&amp;DefaultItemOpen=1" TargetMode="External"/><Relationship Id="rId91" Type="http://schemas.openxmlformats.org/officeDocument/2006/relationships/hyperlink" Target="https://wadhwanifoundation-my.sharepoint.com/:w:/g/personal/vaibhav_mattas_wadhwanifoundation_org/IQCHEwRbRYK-RIdkHpqIWKu0AUI_nbHJP6SfX0Roz_d2ixM?e=0av5gA" TargetMode="External"/><Relationship Id="rId96" Type="http://schemas.openxmlformats.org/officeDocument/2006/relationships/hyperlink" Target="https://wadhwanifoundation-my.sharepoint.com/:w:/g/personal/vaibhav_mattas_wadhwanifoundation_org/IQBgct4HgZxtQriZ8_Dao3u7Acx22Ux73Px1qO_fp6afYJI?e=5NtXvB" TargetMode="External"/><Relationship Id="rId140" Type="http://schemas.openxmlformats.org/officeDocument/2006/relationships/hyperlink" Target="https://wadhwanifoundation-my.sharepoint.com/:w:/g/personal/vaibhav_mattas_wadhwanifoundation_org/IQDA07QhggdFRIgxkqgleogZAYe6PmlNdeUh__TGVvUKigI?e=Y3IXda" TargetMode="External"/><Relationship Id="rId145" Type="http://schemas.openxmlformats.org/officeDocument/2006/relationships/hyperlink" Target="https://wadhwanifoundation-my.sharepoint.com/:w:/g/personal/vaibhav_mattas_wadhwanifoundation_org/IQAAizMFgufsQ7CVYRuObFYiAVB-GeSsUP-v9rYkIwB7CPk?e=Re69xu" TargetMode="External"/><Relationship Id="rId161" Type="http://schemas.openxmlformats.org/officeDocument/2006/relationships/hyperlink" Target="https://wadhwanifoundation-my.sharepoint.com/:w:/g/personal/vaibhav_mattas_wadhwanifoundation_org/IQD3NLA1wX6xRouwlwfbT54NATC4y8hZWXcqrAh4GJNLdBI?e=NstK0F" TargetMode="External"/><Relationship Id="rId166" Type="http://schemas.openxmlformats.org/officeDocument/2006/relationships/table" Target="../tables/table1.xml"/><Relationship Id="rId1" Type="http://schemas.openxmlformats.org/officeDocument/2006/relationships/hyperlink" Target="https://wadhwanifoundation-my.sharepoint.com/:w:/g/personal/vaibhav_mattas_wadhwanifoundation_org/IQCtZZYqBKgaTYbUd4BhytynAZVWBpXfTGTRdFoedZvfbOw?e=aqujgF" TargetMode="External"/><Relationship Id="rId6" Type="http://schemas.openxmlformats.org/officeDocument/2006/relationships/hyperlink" Target="https://wadhwanifoundation-my.sharepoint.com/:w:/g/personal/vaibhav_mattas_wadhwanifoundation_org/IQBvK0ZP3tPoTqJSo4oyk9wlASC-0s4UV_YaCXSs-9wJwK8?e=pbLAxj" TargetMode="External"/><Relationship Id="rId23" Type="http://schemas.openxmlformats.org/officeDocument/2006/relationships/hyperlink" Target="../../../../../vaibhav_mattas_wadhwanifoundation_org/_layouts/15/Doc.aspx?sourcedoc=%7B275C080B-6C9B-4711-8130-6C4FD072F70C%7D&amp;file=Expert%20Connect%202%20_%20Vaultastic%20x%20Wadhwani%20Accelerate.docx&amp;action=default&amp;mobileredirect=true&amp;DefaultItemOpen=1" TargetMode="External"/><Relationship Id="rId28" Type="http://schemas.openxmlformats.org/officeDocument/2006/relationships/hyperlink" Target="https://wadhwanifoundation-my.sharepoint.com/:w:/g/personal/vaibhav_mattas_wadhwanifoundation_org/IQCmiGWRZe2SQLb8z5ZIyy2DAaZnKb1bC2qxLDrpiFxVwG0?e=FUhmI5" TargetMode="External"/><Relationship Id="rId49" Type="http://schemas.openxmlformats.org/officeDocument/2006/relationships/hyperlink" Target="https://wadhwanifoundation-my.sharepoint.com/:w:/g/personal/vaibhav_mattas_wadhwanifoundation_org/IQCpW4BS9THtQ5xCuOSLbBbwAb5M6dYbl6oMeH8kbNLBRtg?e=3Do716" TargetMode="External"/><Relationship Id="rId114" Type="http://schemas.openxmlformats.org/officeDocument/2006/relationships/hyperlink" Target="https://wadhwanifoundation-my.sharepoint.com/:w:/g/personal/vaibhav_mattas_wadhwanifoundation_org/IQB77Ej57keySLFJ0aaeIf8jAQ4M1FVOVqlZeo0fFscSuMU?e=59c2pj" TargetMode="External"/><Relationship Id="rId119" Type="http://schemas.openxmlformats.org/officeDocument/2006/relationships/hyperlink" Target="https://wadhwanifoundation-my.sharepoint.com/:w:/g/personal/vaibhav_mattas_wadhwanifoundation_org/IQCbsRABCktxQI6YPFRxIkdYASHX7vJnf_VnyB-5D-b_D3E?e=FNdMGB" TargetMode="External"/><Relationship Id="rId44" Type="http://schemas.openxmlformats.org/officeDocument/2006/relationships/hyperlink" Target="https://wadhwanifoundation-my.sharepoint.com/:w:/g/personal/vaibhav_mattas_wadhwanifoundation_org/IQDD5T7f_WHuTLKV9M4FpH0dAQm7hRrxI6K9uyfpeo2JpOE?e=d0Q9bv" TargetMode="External"/><Relationship Id="rId60" Type="http://schemas.openxmlformats.org/officeDocument/2006/relationships/hyperlink" Target="https://wadhwanifoundation-my.sharepoint.com/:w:/g/personal/vaibhav_mattas_wadhwanifoundation_org/IQD5lNp8Vsh_QqN1Ze9bw2i0Ad6KtFXr__XvXPDkmkHKJak?e=avrbde" TargetMode="External"/><Relationship Id="rId65" Type="http://schemas.openxmlformats.org/officeDocument/2006/relationships/hyperlink" Target="https://wadhwanifoundation-my.sharepoint.com/:w:/g/personal/vaibhav_mattas_wadhwanifoundation_org/IQCHCDBL4zgJTZdQNgB8PXx0AXyOBwqx4Q-1__a4LvlrHLU?e=yZJZ3x" TargetMode="External"/><Relationship Id="rId81" Type="http://schemas.openxmlformats.org/officeDocument/2006/relationships/hyperlink" Target="https://wadhwanifoundation-my.sharepoint.com/:w:/g/personal/vaibhav_mattas_wadhwanifoundation_org/IQCPaxMCDFulQ7LrZPqwmvDtAdWA4UUMQ7Ovk5a3waChkCw?e=YtfSKl" TargetMode="External"/><Relationship Id="rId86" Type="http://schemas.openxmlformats.org/officeDocument/2006/relationships/hyperlink" Target="https://wadhwanifoundation-my.sharepoint.com/:w:/g/personal/vaibhav_mattas_wadhwanifoundation_org/IQDJ59xB4S-VT6rborRG6F7KARCr89opJ3RZafq9ReTDrAI?e=glsBql" TargetMode="External"/><Relationship Id="rId130" Type="http://schemas.openxmlformats.org/officeDocument/2006/relationships/hyperlink" Target="https://wadhwanifoundation-my.sharepoint.com/:w:/g/personal/vaibhav_mattas_wadhwanifoundation_org/IQB_Nh9-XigpSoj57Kkn2ATcAZUId9BMlvBaFIE-sRJXUcc?e=j9oIYn" TargetMode="External"/><Relationship Id="rId135" Type="http://schemas.openxmlformats.org/officeDocument/2006/relationships/hyperlink" Target="https://wadhwanifoundation-my.sharepoint.com/:w:/g/personal/vaibhav_mattas_wadhwanifoundation_org/IQCPaxMCDFulQ7LrZPqwmvDtAdWA4UUMQ7Ovk5a3waChkCw?e=VSbjhB" TargetMode="External"/><Relationship Id="rId151" Type="http://schemas.openxmlformats.org/officeDocument/2006/relationships/hyperlink" Target="../../../../../vaibhav_mattas_wadhwanifoundation_org/_layouts/15/Doc.aspx?sourcedoc=%7BB0E1E151-19FE-4BFF-9272-27EB663F8C4F%7D&amp;file=Expert%20Connect%201%20_%20Bebe%20Burp%20x%20Wadhwani%20Accelerate%20(1).docx&amp;action=default&amp;mobileredirect=true&amp;DefaultItemOpen=1" TargetMode="External"/><Relationship Id="rId156" Type="http://schemas.openxmlformats.org/officeDocument/2006/relationships/hyperlink" Target="https://wadhwanifoundation-my.sharepoint.com/:w:/g/personal/vaibhav_mattas_wadhwanifoundation_org/IQD8B40skeKuSIKcz3Tn1dL9AQ9zpl65g3KwuxhhfZOc4nI?e=1how1q" TargetMode="External"/><Relationship Id="rId13" Type="http://schemas.openxmlformats.org/officeDocument/2006/relationships/hyperlink" Target="https://wadhwanifoundation-my.sharepoint.com/:w:/g/personal/vaibhav_mattas_wadhwanifoundation_org/IQCNVx5f3hcLT4xUssxX3QbGAQYXzCaZ9o2vFuDvZgIjDqY?e=9UCHMc" TargetMode="External"/><Relationship Id="rId18" Type="http://schemas.openxmlformats.org/officeDocument/2006/relationships/hyperlink" Target="https://wadhwanifoundation-my.sharepoint.com/:w:/g/personal/vaibhav_mattas_wadhwanifoundation_org/IQAqP6szfq9nQKBNP8ZKhNk7AS7rzPD9gfewNAXb2YODDVc?e=FwCdvQ" TargetMode="External"/><Relationship Id="rId39" Type="http://schemas.openxmlformats.org/officeDocument/2006/relationships/hyperlink" Target="https://wadhwanifoundation-my.sharepoint.com/:w:/g/personal/vaibhav_mattas_wadhwanifoundation_org/IQC7UkyWoomPR6_XajBiZhwYAQfay7ySC_v56AHCV2ikECk?e=V7psbN" TargetMode="External"/><Relationship Id="rId109" Type="http://schemas.openxmlformats.org/officeDocument/2006/relationships/hyperlink" Target="https://wadhwanifoundation-my.sharepoint.com/:w:/g/personal/vaibhav_mattas_wadhwanifoundation_org/IQDFTcDPFV2MQKzfPaUQfGkvAewjVKYJua_NEgefAY6MR4Q?e=iOWOVB" TargetMode="External"/><Relationship Id="rId34" Type="http://schemas.openxmlformats.org/officeDocument/2006/relationships/hyperlink" Target="https://wadhwanifoundation-my.sharepoint.com/:w:/g/personal/vaibhav_mattas_wadhwanifoundation_org/IQDi7QplNFA6RZR852nkQJwkAfqPYxDbhcGw3rRD9Q6srMA?e=avhvpU" TargetMode="External"/><Relationship Id="rId50" Type="http://schemas.openxmlformats.org/officeDocument/2006/relationships/hyperlink" Target="../../../../../vaibhav_mattas_wadhwanifoundation_org/_layouts/15/Doc.aspx?sourcedoc=%7B8F3985D4-D876-4198-BA41-DB54902C7BD8%7D&amp;file=Expert%20Connect%202%20_%20REAGRI%20x%20Wadhwani%20Accelerate.docx&amp;action=default&amp;mobileredirect=true&amp;DefaultItemOpen=1" TargetMode="External"/><Relationship Id="rId55" Type="http://schemas.openxmlformats.org/officeDocument/2006/relationships/hyperlink" Target="https://wadhwanifoundation-my.sharepoint.com/:w:/g/personal/vaibhav_mattas_wadhwanifoundation_org/IQC4w5n24L_XR5klAp0fGJ94ARExIRPVuc-I8Tv-jZbaHoI?e=xKX1EA" TargetMode="External"/><Relationship Id="rId76" Type="http://schemas.openxmlformats.org/officeDocument/2006/relationships/hyperlink" Target="https://wadhwanifoundation-my.sharepoint.com/:w:/g/personal/vaibhav_mattas_wadhwanifoundation_org/IQADT2jAaOY1Q66PWMOWisANAb5p713zwNPwJHhbw-vq49E?e=VTUu67" TargetMode="External"/><Relationship Id="rId97" Type="http://schemas.openxmlformats.org/officeDocument/2006/relationships/hyperlink" Target="../../../../../vaibhav_mattas_wadhwanifoundation_org/_layouts/15/Doc.aspx?sourcedoc=%7B464DE85B-03A0-4ABE-B4D7-8179EB5F48A6%7D&amp;file=Expert%20Connect%202%20_%20Dhobi%20G%20x%20Wadhwani%20Accelerate.docx&amp;action=default&amp;mobileredirect=true&amp;DefaultItemOpen=1" TargetMode="External"/><Relationship Id="rId104" Type="http://schemas.openxmlformats.org/officeDocument/2006/relationships/hyperlink" Target="../../../../../vaibhav_mattas_wadhwanifoundation_org/_layouts/15/Doc.aspx?sourcedoc=%7BDEC524CB-A9F1-4086-84CD-E65D483BE100%7D&amp;file=Expert%20Connect%201%20_%20Agriown%C2%A0Farmtech%20x%20Wadhwani%20Accelerate.docx&amp;action=default&amp;mobileredirect=true&amp;DefaultItemOpen=1" TargetMode="External"/><Relationship Id="rId120" Type="http://schemas.openxmlformats.org/officeDocument/2006/relationships/hyperlink" Target="https://wadhwanifoundation-my.sharepoint.com/:w:/g/personal/vaibhav_mattas_wadhwanifoundation_org/IQDI_gtSPR65TL37Y1jMXanNAYsjqMIRLgkoLQg0DetDp-k?e=oHKEdb" TargetMode="External"/><Relationship Id="rId125" Type="http://schemas.openxmlformats.org/officeDocument/2006/relationships/hyperlink" Target="https://wadhwanifoundation-my.sharepoint.com/:w:/g/personal/vaibhav_mattas_wadhwanifoundation_org/IQDhc4HFnoZESJ5_c9X0vGBgATLTgoWoJg1c5GlX9NRWb-g?e=gMoUbl" TargetMode="External"/><Relationship Id="rId141" Type="http://schemas.openxmlformats.org/officeDocument/2006/relationships/hyperlink" Target="https://wadhwanifoundation-my.sharepoint.com/:w:/g/personal/vaibhav_mattas_wadhwanifoundation_org/IQDA07QhggdFRIgxkqgleogZAYe6PmlNdeUh__TGVvUKigI?e=Y3IXda" TargetMode="External"/><Relationship Id="rId146" Type="http://schemas.openxmlformats.org/officeDocument/2006/relationships/hyperlink" Target="../../../../../vaibhav_mattas_wadhwanifoundation_org/_layouts/15/Doc.aspx?sourcedoc=%7BE520159F-A1FD-4863-A7AD-BF8EAB0A1153%7D&amp;file=Expert%20Connect%201%20_%20Leap%20Info%20x%20Wadhwani%20Accelerate.docx&amp;action=default&amp;mobileredirect=true&amp;DefaultItemOpen=1" TargetMode="External"/><Relationship Id="rId167" Type="http://schemas.microsoft.com/office/2019/04/relationships/namedSheetView" Target="../namedSheetViews/namedSheetView1.xml"/><Relationship Id="rId7" Type="http://schemas.openxmlformats.org/officeDocument/2006/relationships/hyperlink" Target="https://wadhwanifoundation-my.sharepoint.com/:w:/g/personal/vaibhav_mattas_wadhwanifoundation_org/IQC-SRzQ5ptDSpRvNioR2glTASiE6WBiIPbUksldIekEdwQ?e=4Zf0yg" TargetMode="External"/><Relationship Id="rId71" Type="http://schemas.openxmlformats.org/officeDocument/2006/relationships/hyperlink" Target="https://wadhwanifoundation-my.sharepoint.com/:w:/g/personal/vaibhav_mattas_wadhwanifoundation_org/IQArgnAZ9mtZTrlDKL5hoEi6AU1TR2gvEL6D_mm3dIPgk24?e=SHcPuL" TargetMode="External"/><Relationship Id="rId92" Type="http://schemas.openxmlformats.org/officeDocument/2006/relationships/hyperlink" Target="../../../../../vaibhav_mattas_wadhwanifoundation_org/_layouts/15/Doc.aspx?sourcedoc=%7BDC63F2CE-F96F-437E-9A35-18B61FAEFD13%7D&amp;file=Expert%20Connect%201%20_%20Sarumam%20Pharmacy%20x%20Wadhwani%20Accelerate.docx&amp;action=default&amp;mobileredirect=true&amp;DefaultItemOpen=1" TargetMode="External"/><Relationship Id="rId162" Type="http://schemas.openxmlformats.org/officeDocument/2006/relationships/hyperlink" Target="https://wadhwanifoundation-my.sharepoint.com/:x:/r/personal/accelerate_wadhwanifoundation_org/_layouts/15/doc2.aspx?action=edit&amp;sourcedoc=%7B5e806d0b-b05b-4163-9c44-a6519a6631cd%7D&amp;wdExp=TEAMS-TREATMENT&amp;web=1&amp;TeamsCID=9b687303-0a3c-4e7f-88ca-8b4844cfec7c&amp;xsdata=MDV8MDJ8fDU2OTI3MmE0ZDM3NDQ5ZjU5NmI1MDhkZWI0YWYxYTdlfDM4M2Q2Y2I3MGJhNDQ3OGU5MDc0NDE2ZDA4OWZiZWRjfDB8MHw2MzkxNDY4NjEyODk5NjkzMzN8VW5rbm93bnxWR1ZoYlhOVFpXTjFjbWwwZVZObGNuWnBZMlY4ZXlKRFFTSTZJbFJsWVcxelgwRlVVRk5sY25acFkyVmZVMUJQVEU5R0lpd2lWaUk2SWpBdU1DNHdNREF3SWl3aVVDSTZJbGRwYmpNeUlpd2lRVTRpT2lKUGRHaGxjaUlzSWxkVUlqb3hNWDA9fDF8TDJOb1lYUnpMekU1T2pjMFpUWmhabVUyTFRNeE1Ua3RORFU0WlMwNU9XVmxMV1l3TURoaU5URXhObU16T0Y5aE5tRmhNbUZtTXkweU5qQTJMVFF5WVRndFlUazNNaTA0TjJOaVpEa3dOREl6WkRKQWRXNXhMbWRpYkM1emNHRmpaWE12YldWemMyRm5aWE12TVRjM09UQTRPVE15Tmprd05nPT18OTcxYzY1YTAzMjI4NDk3MGZkNTYwOGRlYjRhZjFhN2R8YTE3NzNkMTJlODg5NDc1NGI1NDk1ZmUwNDZiNDk2MTQ%3D&amp;sdata=N1RVbVF5bHYyM01kZ2hjMkVYMFZJRmlZUG0yNVJTUkZ6bWRjT2xReTBkdz0%3D&amp;ovuser=383d6cb7-0ba4-478e-9074-416d089fbedc%2Cvaibhav.mattas%40wadhwanifoundation.org" TargetMode="External"/><Relationship Id="rId2" Type="http://schemas.openxmlformats.org/officeDocument/2006/relationships/hyperlink" Target="https://wadhwanifoundation-my.sharepoint.com/:w:/g/personal/vaibhav_mattas_wadhwanifoundation_org/IQAJptXEtzxVR7sxo5tRYRRJAVa8D7RWab0TluUbt_7PEPY?e=AwofWW" TargetMode="External"/><Relationship Id="rId29" Type="http://schemas.openxmlformats.org/officeDocument/2006/relationships/hyperlink" Target="../../../../../vaibhav_mattas_wadhwanifoundation_org/_layouts/15/Doc.aspx?sourcedoc=%7B3CB09A81-5B66-46A0-A872-3B69827CCC78%7D&amp;file=Expert%20Connect%20_%20Green%20Pods%20x%20Wadhwani%20Accelerate.docx&amp;action=default&amp;mobileredirect=true&amp;DefaultItemOpen=1" TargetMode="External"/><Relationship Id="rId24" Type="http://schemas.openxmlformats.org/officeDocument/2006/relationships/hyperlink" Target="https://wadhwanifoundation-my.sharepoint.com/:w:/g/personal/vaibhav_mattas_wadhwanifoundation_org/IQCx9pTPBMf8RIhfbrJ0wFrKATt1dPmdFta09A3S9G9-kCQ?e=cBqe8L" TargetMode="External"/><Relationship Id="rId40" Type="http://schemas.openxmlformats.org/officeDocument/2006/relationships/hyperlink" Target="../../../../../vaibhav_mattas_wadhwanifoundation_org/_layouts/15/Doc.aspx?sourcedoc=%7BEA411141-DED8-46C4-9FF4-65AEBBF4FB33%7D&amp;file=Expert%20Connect%201%20_%20Frontierz%20x%20Wadhwani%20Accelerate.docx&amp;action=default&amp;mobileredirect=true&amp;DefaultItemOpen=1" TargetMode="External"/><Relationship Id="rId45" Type="http://schemas.openxmlformats.org/officeDocument/2006/relationships/hyperlink" Target="../../../../../vaibhav_mattas_wadhwanifoundation_org/_layouts/15/Doc.aspx?sourcedoc=%7B69BCFBE6-E8A1-4CF3-8134-7D899FB1E56E%7D&amp;file=Expert%20Connect%202%20_%20LeanKloud%20x%20Wadhwani%20Accelerate.docx&amp;action=default&amp;mobileredirect=true&amp;DefaultItemOpen=1" TargetMode="External"/><Relationship Id="rId66" Type="http://schemas.openxmlformats.org/officeDocument/2006/relationships/hyperlink" Target="../../../../../vaibhav_mattas_wadhwanifoundation_org/_layouts/15/Doc.aspx?sourcedoc=%7B9B813AB0-A1D2-40F8-8753-49F285F365BC%7D&amp;file=Expert%20Connect%201%20_%20Servercake%20x%20Wadhwani%20Accelerate.docx&amp;action=default&amp;mobileredirect=true&amp;DefaultItemOpen=1" TargetMode="External"/><Relationship Id="rId87" Type="http://schemas.openxmlformats.org/officeDocument/2006/relationships/hyperlink" Target="https://wadhwanifoundation-my.sharepoint.com/:w:/g/personal/vaibhav_mattas_wadhwanifoundation_org/IQDIQSuDFxHoSoWO0OcwPs1DAXMjZguHynvd_4HslR_x_oE?e=7h1DXB" TargetMode="External"/><Relationship Id="rId110" Type="http://schemas.openxmlformats.org/officeDocument/2006/relationships/hyperlink" Target="https://wadhwanifoundation-my.sharepoint.com/:w:/g/personal/vaibhav_mattas_wadhwanifoundation_org/IQCTQ7bcawd-SoHC7SiaQZh4AReSV-asb93-KHQSobteSZA?e=EZGc2Y" TargetMode="External"/><Relationship Id="rId115" Type="http://schemas.openxmlformats.org/officeDocument/2006/relationships/hyperlink" Target="../../../../../vaibhav_mattas_wadhwanifoundation_org/_layouts/15/Doc.aspx?sourcedoc=%7BF6C57712-8E13-40CF-82FA-AF421142A75E%7D&amp;file=Expert%20Connect%202%20_%20Qarmatek%20x%20Wadhwani%20Accelerate.docx&amp;action=default&amp;mobileredirect=true&amp;DefaultItemOpen=1" TargetMode="External"/><Relationship Id="rId131" Type="http://schemas.openxmlformats.org/officeDocument/2006/relationships/hyperlink" Target="https://wadhwanifoundation-my.sharepoint.com/:w:/g/personal/vaibhav_mattas_wadhwanifoundation_org/IQCCIvIYFaAwRbnomGR5vwfnAd495Y_Snx3XrGey-CWQfSM?e=mGsTyK" TargetMode="External"/><Relationship Id="rId136" Type="http://schemas.openxmlformats.org/officeDocument/2006/relationships/hyperlink" Target="https://wadhwanifoundation-my.sharepoint.com/:w:/g/personal/vaibhav_mattas_wadhwanifoundation_org/IQDXyEG1S6XBQb7pNJknwXhgAWUMhsVzQomKzICDSEMiNzI?e=VPugcL" TargetMode="External"/><Relationship Id="rId157" Type="http://schemas.openxmlformats.org/officeDocument/2006/relationships/hyperlink" Target="../../../../../vaibhav_mattas_wadhwanifoundation_org/_layouts/15/Doc.aspx?sourcedoc=%7BDA3353B6-5E40-4730-ACE4-686DD5BA9B82%7D&amp;file=Expert%20Connect%202%20_%20Aeronero%C2%A0Solutions%20x%20Wadhwani%20Accelerate%20(1).docx&amp;action=default&amp;mobileredirect=true&amp;DefaultItemOpen=1" TargetMode="External"/><Relationship Id="rId61" Type="http://schemas.openxmlformats.org/officeDocument/2006/relationships/hyperlink" Target="../../../../../vaibhav_mattas_wadhwanifoundation_org/_layouts/15/Doc.aspx?sourcedoc=%7BD87A12DB-83E1-433D-9C42-CB35B5E10116%7D&amp;file=Expert%20Connect%203%20_%20Stembotix%20x%20Wadhwani%20Accelerate%20(1).docx&amp;action=default&amp;mobileredirect=true&amp;DefaultItemOpen=1" TargetMode="External"/><Relationship Id="rId82" Type="http://schemas.openxmlformats.org/officeDocument/2006/relationships/hyperlink" Target="https://wadhwanifoundation-my.sharepoint.com/:w:/g/personal/vaibhav_mattas_wadhwanifoundation_org/IQAqLCEZdtCAT5f0O5WUZAinAWYAdyRi6pfRM9g34G973HQ?e=ddKN4s" TargetMode="External"/><Relationship Id="rId152" Type="http://schemas.openxmlformats.org/officeDocument/2006/relationships/hyperlink" Target="https://wadhwanifoundation-my.sharepoint.com/:w:/g/personal/vaibhav_mattas_wadhwanifoundation_org/IQA8cn0ETyO0QLOF2z4tmBOeAfbAMeEPAhl5-XFvTvvFSgU?e=Be0izX" TargetMode="External"/><Relationship Id="rId19" Type="http://schemas.openxmlformats.org/officeDocument/2006/relationships/hyperlink" Target="../../../../../vaibhav_mattas_wadhwanifoundation_org/_layouts/15/Doc.aspx?sourcedoc=%7BAAE36574-79A5-4554-8AE7-FDDAC4D4B0F8%7D&amp;file=Expert%20Connect%203%20_%20Manufyx%20x%20Wadhwani%20Accelerate.docx&amp;action=default&amp;mobileredirect=true&amp;DefaultItemOpen=1" TargetMode="External"/><Relationship Id="rId14" Type="http://schemas.openxmlformats.org/officeDocument/2006/relationships/hyperlink" Target="https://wadhwanifoundation-my.sharepoint.com/:w:/g/personal/vaibhav_mattas_wadhwanifoundation_org/IQBST_60ssnrRYB-lFy3lSjiAY4Jcdmh7_N9HdlvJb4LVXE?e=XdAMfR" TargetMode="External"/><Relationship Id="rId30" Type="http://schemas.openxmlformats.org/officeDocument/2006/relationships/hyperlink" Target="https://wadhwanifoundation-my.sharepoint.com/:w:/g/personal/vaibhav_mattas_wadhwanifoundation_org/IQDi7QplNFA6RZR852nkQJwkAfqPYxDbhcGw3rRD9Q6srMA?e=buBGzE" TargetMode="External"/><Relationship Id="rId35" Type="http://schemas.openxmlformats.org/officeDocument/2006/relationships/hyperlink" Target="../../../../../vaibhav_mattas_wadhwanifoundation_org/_layouts/15/Doc.aspx?sourcedoc=%7BD6161283-CA3E-4A20-B503-CBE867467E02%7D&amp;file=Expert%20Connect%203%20_%20Atreya%20Innovations%20x%20Wadhwani%20Accelerate.docx&amp;action=default&amp;mobileredirect=true&amp;DefaultItemOpen=1" TargetMode="External"/><Relationship Id="rId56" Type="http://schemas.openxmlformats.org/officeDocument/2006/relationships/hyperlink" Target="https://wadhwanifoundation-my.sharepoint.com/:w:/g/personal/vaibhav_mattas_wadhwanifoundation_org/IQDd20zf1126TaKqkO9i25jwASf8EziyD4BiPwnIGU7ONA0?e=GaH1U1" TargetMode="External"/><Relationship Id="rId77" Type="http://schemas.openxmlformats.org/officeDocument/2006/relationships/hyperlink" Target="https://wadhwanifoundation-my.sharepoint.com/:w:/g/personal/vaibhav_mattas_wadhwanifoundation_org/IQBQ6lifNEfyTqURDNgQmwK2AdQKLDeCjHXnp5-VlLP7mYo?e=6ZWBQ2" TargetMode="External"/><Relationship Id="rId100" Type="http://schemas.openxmlformats.org/officeDocument/2006/relationships/hyperlink" Target="https://wadhwanifoundation-my.sharepoint.com/:w:/g/personal/vaibhav_mattas_wadhwanifoundation_org/IQAh1YR6IDdpRopuin2hIA06AY_gTUtImykXobLoDqzbuQ0?e=AYap8t" TargetMode="External"/><Relationship Id="rId105" Type="http://schemas.openxmlformats.org/officeDocument/2006/relationships/hyperlink" Target="https://wadhwanifoundation-my.sharepoint.com/:w:/g/personal/vaibhav_mattas_wadhwanifoundation_org/IQB7OKT8xEgeRoDboT1WV5sgATgkbMBaq1jq6-_cV3R8VyQ?e=uZ4lg6" TargetMode="External"/><Relationship Id="rId126" Type="http://schemas.openxmlformats.org/officeDocument/2006/relationships/hyperlink" Target="https://wadhwanifoundation-my.sharepoint.com/:w:/g/personal/vaibhav_mattas_wadhwanifoundation_org/IQAqNYHoxyaWTI6hdOTjE8lrARP67lMTwXRg-9kToRpu644?e=h3MIcy" TargetMode="External"/><Relationship Id="rId147" Type="http://schemas.openxmlformats.org/officeDocument/2006/relationships/hyperlink" Target="https://wadhwanifoundation-my.sharepoint.com/:w:/g/personal/vaibhav_mattas_wadhwanifoundation_org/IQBdPzEAOoIPSI3Eh3lNSq2tAY_aIjrXzc2G6Pt3FgYzovc?e=OE6gCU" TargetMode="External"/><Relationship Id="rId8" Type="http://schemas.openxmlformats.org/officeDocument/2006/relationships/hyperlink" Target="https://wadhwanifoundation-my.sharepoint.com/:w:/g/personal/vaibhav_mattas_wadhwanifoundation_org/IQCXGDToK1FQRboLCeR-2s8ZAWeVVj6XZmbUlPlbYVIxVuY?e=fmrcdW" TargetMode="External"/><Relationship Id="rId51" Type="http://schemas.openxmlformats.org/officeDocument/2006/relationships/hyperlink" Target="https://wadhwanifoundation-my.sharepoint.com/:w:/g/personal/vaibhav_mattas_wadhwanifoundation_org/IQD-M__EIcV7R4LYVIC9N1cMAe6L7aGPt8Gu_MKFkJQIDbA?e=NchbLX" TargetMode="External"/><Relationship Id="rId72" Type="http://schemas.openxmlformats.org/officeDocument/2006/relationships/hyperlink" Target="../../../../../vaibhav_mattas_wadhwanifoundation_org/_layouts/15/Doc.aspx?sourcedoc=%7BD090E6D8-2847-453C-BA87-3C2D6296B42F%7D&amp;file=Expert%20Connect%201%20_%20Botminds.ai%20x%20Wadhwani%20Accelerate.docx&amp;action=default&amp;mobileredirect=true&amp;DefaultItemOpen=1" TargetMode="External"/><Relationship Id="rId93" Type="http://schemas.openxmlformats.org/officeDocument/2006/relationships/hyperlink" Target="https://wadhwanifoundation-my.sharepoint.com/:w:/g/personal/vaibhav_mattas_wadhwanifoundation_org/IQDW8g8IUFo9Q4gmURIu-fkGAVHMyEeDVmvucSo4b2xiIPk?e=fZV3F4" TargetMode="External"/><Relationship Id="rId98" Type="http://schemas.openxmlformats.org/officeDocument/2006/relationships/hyperlink" Target="https://wadhwanifoundation-my.sharepoint.com/:w:/g/personal/vaibhav_mattas_wadhwanifoundation_org/IQClyezhAMKvRrYx94DqzcADAauSljWsUI5Gj-lnJluWmcU?e=QtLqbm" TargetMode="External"/><Relationship Id="rId121" Type="http://schemas.openxmlformats.org/officeDocument/2006/relationships/hyperlink" Target="../../../../../vaibhav_mattas_wadhwanifoundation_org/_layouts/15/Doc.aspx?sourcedoc=%7BA1C74437-E250-4932-8F0C-07DF7799C82F%7D&amp;file=Expert%20Connect%203%20_%20Qarmatek%20x%20Wadhwani%20Accelerate.docx&amp;action=default&amp;mobileredirect=true&amp;DefaultItemOpen=1" TargetMode="External"/><Relationship Id="rId142" Type="http://schemas.openxmlformats.org/officeDocument/2006/relationships/hyperlink" Target="https://wadhwanifoundation-my.sharepoint.com/:w:/g/personal/vaibhav_mattas_wadhwanifoundation_org/IQBMNmb6R8XHT62JcGAzXBuiAbBeF2GgOpU5T2ikBs0qVkc?e=ARUhjj" TargetMode="External"/><Relationship Id="rId163" Type="http://schemas.openxmlformats.org/officeDocument/2006/relationships/hyperlink" Target="https://wadhwanifoundation-my.sharepoint.com/:v:/g/personal/accelerate_wadhwanifoundation_org/IQDLw4OGyNXHRZMvK0PFQ0u-AciHevDngg3mnYEcMlCzzwc?e=wnqqHN&amp;nav=eyJyZWZlcnJhbEluZm8iOnsicmVmZXJyYWxBcHAiOiJTdHJlYW1XZWJBcHAiLCJyZWZlcnJhbFZpZXciOiJTaGFyZURpYWxvZy1MaW5rIiwicmVmZXJyYWxBcHBQbGF0Zm9ybSI6IldlYiIsInJlZmVycmFsTW9kZSI6InZpZXcifX0%3D" TargetMode="External"/><Relationship Id="rId3" Type="http://schemas.openxmlformats.org/officeDocument/2006/relationships/hyperlink" Target="https://wadhwanifoundation-my.sharepoint.com/:w:/g/personal/vaibhav_mattas_wadhwanifoundation_org/IQBdhNEAleOeRLC4VltOw5qQAdR7Oz79RlV9rRO8UOoMq-U?e=3TlXur" TargetMode="External"/><Relationship Id="rId25" Type="http://schemas.openxmlformats.org/officeDocument/2006/relationships/hyperlink" Target="https://wadhwanifoundation-my.sharepoint.com/:w:/g/personal/vaibhav_mattas_wadhwanifoundation_org/IQDC4KGY7oo6TLwIB3pc3MNWAZzWOp5xpBtKK4WhXxIdgTc?e=oK9MDk" TargetMode="External"/><Relationship Id="rId46" Type="http://schemas.openxmlformats.org/officeDocument/2006/relationships/hyperlink" Target="https://wadhwanifoundation-my.sharepoint.com/:w:/g/personal/vaibhav_mattas_wadhwanifoundation_org/IQDPEcjvyYcpTJg0tAdi22sEAa2ceDOOY4cFmJKHy88K7Qk?e=UP5IkH" TargetMode="External"/><Relationship Id="rId67" Type="http://schemas.openxmlformats.org/officeDocument/2006/relationships/hyperlink" Target="https://wadhwanifoundation-my.sharepoint.com/:w:/g/personal/vaibhav_mattas_wadhwanifoundation_org/IQBBwXRtOngyRZw_gn_uFfsnAff4Thzkc3WtsYeriPXiylM?e=nK3Jff" TargetMode="External"/><Relationship Id="rId116" Type="http://schemas.openxmlformats.org/officeDocument/2006/relationships/hyperlink" Target="https://wadhwanifoundation-my.sharepoint.com/:w:/g/personal/vaibhav_mattas_wadhwanifoundation_org/IQA0srn1tV3rR5b5F4SlhB3UAasv6qVLrcOYrCDWa83nuvM?e=OH7wUZ" TargetMode="External"/><Relationship Id="rId137" Type="http://schemas.openxmlformats.org/officeDocument/2006/relationships/hyperlink" Target="https://wadhwanifoundation-my.sharepoint.com/:w:/g/personal/vaibhav_mattas_wadhwanifoundation_org/IQDPfsEiWV_kQ5p4mYLL_s0VAaGackFDakKVjmW0ULRNRak?e=3Ml81P" TargetMode="External"/><Relationship Id="rId158" Type="http://schemas.openxmlformats.org/officeDocument/2006/relationships/hyperlink" Target="https://wadhwanifoundation-my.sharepoint.com/:w:/g/personal/vaibhav_mattas_wadhwanifoundation_org/IQCwaOyebEtkQbsVYIDU7QLOAZhar9b85w4Aq0Ruacft0nQ?e=RckirE" TargetMode="External"/><Relationship Id="rId20" Type="http://schemas.openxmlformats.org/officeDocument/2006/relationships/hyperlink" Target="https://wadhwanifoundation-my.sharepoint.com/:w:/g/personal/vaibhav_mattas_wadhwanifoundation_org/IQCQCK29nPsGQ4LcoJ_8mMOjAVt-Qenplv1_McAE76rgsYw?e=L458oG" TargetMode="External"/><Relationship Id="rId41" Type="http://schemas.openxmlformats.org/officeDocument/2006/relationships/hyperlink" Target="https://wadhwanifoundation-my.sharepoint.com/:w:/g/personal/vaibhav_mattas_wadhwanifoundation_org/IQC7UkyWoomPR6_XajBiZhwYAQfay7ySC_v56AHCV2ikECk?e=jyCAxb" TargetMode="External"/><Relationship Id="rId62" Type="http://schemas.openxmlformats.org/officeDocument/2006/relationships/hyperlink" Target="https://wadhwanifoundation-my.sharepoint.com/:w:/g/personal/vaibhav_mattas_wadhwanifoundation_org/IQCKfo6bYgc2QqBhVrNS3sqOAQl00ufXTfmCQcThL6xVGgQ?e=GRiN3K" TargetMode="External"/><Relationship Id="rId83" Type="http://schemas.openxmlformats.org/officeDocument/2006/relationships/hyperlink" Target="https://wadhwanifoundation-my.sharepoint.com/:w:/g/personal/vaibhav_mattas_wadhwanifoundation_org/IQAvAuZhOd_9T4BsP2omVSmOAQnwj4bx6mwAtPtXJ1GHkOw?e=6NhyEm" TargetMode="External"/><Relationship Id="rId88" Type="http://schemas.openxmlformats.org/officeDocument/2006/relationships/hyperlink" Target="https://wadhwanifoundation-my.sharepoint.com/:w:/g/personal/vaibhav_mattas_wadhwanifoundation_org/IQBoJgoQW41ETq9hUIdj912YATVPpr1fRP5_fwYZBNN0kyo?e=hx1EqH" TargetMode="External"/><Relationship Id="rId111" Type="http://schemas.openxmlformats.org/officeDocument/2006/relationships/hyperlink" Target="https://wadhwanifoundation-my.sharepoint.com/:w:/g/personal/vaibhav_mattas_wadhwanifoundation_org/IQD7c2cSFdgWSqsKeSPxo0TiARNTbP3khRHx8PVU-iJY00E?e=YL1vHU" TargetMode="External"/><Relationship Id="rId132" Type="http://schemas.openxmlformats.org/officeDocument/2006/relationships/hyperlink" Target="https://wadhwanifoundation-my.sharepoint.com/:w:/g/personal/vaibhav_mattas_wadhwanifoundation_org/IQATz4hiHk6aSJudtF6vPYtWAc8Kwt9NQJqhVcLKyHB2FdE?e=ZFuqCb" TargetMode="External"/><Relationship Id="rId153" Type="http://schemas.openxmlformats.org/officeDocument/2006/relationships/hyperlink" Target="https://wadhwanifoundation-my.sharepoint.com/:w:/g/personal/vaibhav_mattas_wadhwanifoundation_org/IQCHA9duuVX9S5I5mL2DyeI6AcS7aBxgGAj05Dc821L2GOM?e=gK25VG" TargetMode="External"/><Relationship Id="rId15" Type="http://schemas.openxmlformats.org/officeDocument/2006/relationships/hyperlink" Target="../../../../../vaibhav_mattas_wadhwanifoundation_org/_layouts/15/Doc.aspx?sourcedoc=%7BE7991494-6037-4784-9CB0-1BAD523742E5%7D&amp;file=Expert%20Connect%202%20_%20Manufyx%20x%20Wadhwani%20Accelerate.docx&amp;action=default&amp;mobileredirect=true&amp;DefaultItemOpen=1" TargetMode="External"/><Relationship Id="rId36" Type="http://schemas.openxmlformats.org/officeDocument/2006/relationships/hyperlink" Target="https://wadhwanifoundation-my.sharepoint.com/:w:/g/personal/vaibhav_mattas_wadhwanifoundation_org/IQC7UkyWoomPR6_XajBiZhwYAQfay7ySC_v56AHCV2ikECk?e=bGtHzb" TargetMode="External"/><Relationship Id="rId57" Type="http://schemas.openxmlformats.org/officeDocument/2006/relationships/hyperlink" Target="https://wadhwanifoundation-my.sharepoint.com/:w:/g/personal/vaibhav_mattas_wadhwanifoundation_org/IQAElrdkYgGDRqyI-lgkEoe3AaHWgVJj66yDnrHSRNimTr8?e=CPUv2C" TargetMode="External"/><Relationship Id="rId106" Type="http://schemas.openxmlformats.org/officeDocument/2006/relationships/hyperlink" Target="../../../../../vaibhav_mattas_wadhwanifoundation_org/_layouts/15/Doc.aspx?sourcedoc=%7B06DC80ED-ED44-4F08-9D50-427152A30A0A%7D&amp;file=Expert%20Connect%201%20_%20Terrablu%20x%20Wadhwani%20Accelerate.docx&amp;action=default&amp;mobileredirect=true&amp;DefaultItemOpen=1" TargetMode="External"/><Relationship Id="rId127" Type="http://schemas.openxmlformats.org/officeDocument/2006/relationships/hyperlink" Target="../../../../../vaibhav_mattas_wadhwanifoundation_org/_layouts/15/Doc.aspx?sourcedoc=%7B1137ED2F-4F5E-42F1-A3F7-0DFB2058E41D%7D&amp;file=Expert%20Connect%202%20_%20Vastra%20App%20x%20Wadhwani%20Accelerate.docx&amp;action=default&amp;mobileredirect=true&amp;DefaultItemOpen=1" TargetMode="External"/><Relationship Id="rId10" Type="http://schemas.openxmlformats.org/officeDocument/2006/relationships/hyperlink" Target="https://wadhwanifoundation-my.sharepoint.com/:w:/g/personal/vaibhav_mattas_wadhwanifoundation_org/IQCihmMB3sooTImQRBWB6RsWASfcO9YKSRk7bWFeajKgJpI?e=nU9Inh" TargetMode="External"/><Relationship Id="rId31" Type="http://schemas.openxmlformats.org/officeDocument/2006/relationships/hyperlink" Target="https://wadhwanifoundation-my.sharepoint.com/:w:/g/personal/vaibhav_mattas_wadhwanifoundation_org/IQDi7QplNFA6RZR852nkQJwkAfqPYxDbhcGw3rRD9Q6srMA?e=buBGzE" TargetMode="External"/><Relationship Id="rId52" Type="http://schemas.openxmlformats.org/officeDocument/2006/relationships/hyperlink" Target="https://wadhwanifoundation-my.sharepoint.com/:w:/g/personal/vaibhav_mattas_wadhwanifoundation_org/IQDKjiomdU0YQryLH2XU3kqWAW_XKGM6lEACBoi38_NRgg0?e=Na7z98" TargetMode="External"/><Relationship Id="rId73" Type="http://schemas.openxmlformats.org/officeDocument/2006/relationships/hyperlink" Target="https://wadhwanifoundation-my.sharepoint.com/:w:/g/personal/vaibhav_mattas_wadhwanifoundation_org/IQA_5f_qUYKJSbwDwXC9lUEzAUkCsuyMCYqdIok1R7RzUeU?e=ZO0SuW" TargetMode="External"/><Relationship Id="rId78" Type="http://schemas.openxmlformats.org/officeDocument/2006/relationships/hyperlink" Target="../../../../../vaibhav_mattas_wadhwanifoundation_org/_layouts/15/Doc.aspx?sourcedoc=%7BA2B4FFE4-B0CB-4616-BB01-36BF2FA18E33%7D&amp;file=Expert%20Connect%201%20_%20NutriRasoi%20x%20Wadhwani%20Accelerate%20(1).docx&amp;action=default&amp;mobileredirect=true&amp;DefaultItemOpen=1" TargetMode="External"/><Relationship Id="rId94" Type="http://schemas.openxmlformats.org/officeDocument/2006/relationships/hyperlink" Target="../../../../../vaibhav_mattas_wadhwanifoundation_org/_layouts/15/Doc.aspx?sourcedoc=%7BF9ADAE59-ADF6-483B-B40B-65AFEF07CB4A%7D&amp;file=Expert%20Connect%201%20_%20Airmeds%20x%20Wadhwani%20Accelerate.docx&amp;action=default&amp;mobileredirect=true&amp;DefaultItemOpen=1" TargetMode="External"/><Relationship Id="rId99" Type="http://schemas.openxmlformats.org/officeDocument/2006/relationships/hyperlink" Target="https://wadhwanifoundation-my.sharepoint.com/:w:/g/personal/vaibhav_mattas_wadhwanifoundation_org/IQBXI-YATg7DRaYO8pC0uJcLATvJIPXvDlyz2v-8Fj7pwDg?e=xqnvFc" TargetMode="External"/><Relationship Id="rId101" Type="http://schemas.openxmlformats.org/officeDocument/2006/relationships/hyperlink" Target="https://wadhwanifoundation-my.sharepoint.com/:w:/g/personal/vaibhav_mattas_wadhwanifoundation_org/IQBXI-YATg7DRaYO8pC0uJcLATvJIPXvDlyz2v-8Fj7pwDg?e=xqnvFc" TargetMode="External"/><Relationship Id="rId122" Type="http://schemas.openxmlformats.org/officeDocument/2006/relationships/hyperlink" Target="https://wadhwanifoundation-my.sharepoint.com/:w:/g/personal/vaibhav_mattas_wadhwanifoundation_org/IQAE8xAj9Nf9QLyPBEHDzwiwAc3V-YlWZkYlFT4xRgruaiw?e=YTgbTO" TargetMode="External"/><Relationship Id="rId143" Type="http://schemas.openxmlformats.org/officeDocument/2006/relationships/hyperlink" Target="../../../../../vaibhav_mattas_wadhwanifoundation_org/_layouts/15/Doc.aspx?sourcedoc=%7BB9A87112-E4E6-44FA-81C0-DCD5FEEB7F90%7D&amp;file=Expert%20Connect%201%20_%20Hreedan%20Lifestyle%20x%20Wadhwani%20Accelerate.docx&amp;action=default&amp;mobileredirect=true&amp;DefaultItemOpen=1" TargetMode="External"/><Relationship Id="rId148" Type="http://schemas.openxmlformats.org/officeDocument/2006/relationships/hyperlink" Target="https://wadhwanifoundation-my.sharepoint.com/:w:/g/personal/vaibhav_mattas_wadhwanifoundation_org/IQCzH19NdadMRKzXKW6v9Nm6AbE0za74SmwNQCzmSHJgydg?e=CxwDh4" TargetMode="External"/><Relationship Id="rId164" Type="http://schemas.openxmlformats.org/officeDocument/2006/relationships/hyperlink" Target="../../../../../vaibhav_mattas_wadhwanifoundation_org/_layouts/15/Doc.aspx?sourcedoc=%7BB4ABD0DA-4096-4E54-B0F5-D29C4C6B11CB%7D&amp;file=Expert%20Connect%201%20_%20Rupiya%20Finnovations%20x%20Wadhwani%20Accelerate.docx&amp;action=default&amp;mobileredirect=true&amp;DefaultItemOpen=1" TargetMode="External"/><Relationship Id="rId4" Type="http://schemas.openxmlformats.org/officeDocument/2006/relationships/hyperlink" Target="../../../../../vaibhav_mattas_wadhwanifoundation_org/Documents/Attachments/Mentee%20Action%20Plan%20(Zeus%20Engitech%20x%C2%A0Ankit%20Majumdar).pdf" TargetMode="External"/><Relationship Id="rId9" Type="http://schemas.openxmlformats.org/officeDocument/2006/relationships/hyperlink" Target="https://wadhwanifoundation-my.sharepoint.com/:w:/g/personal/vaibhav_mattas_wadhwanifoundation_org/IQA8q0a2umRXSYtHH65dCslMAZFmW7F0ieIBcZsgNZsoZ8w?e=Wyxati" TargetMode="External"/><Relationship Id="rId26" Type="http://schemas.openxmlformats.org/officeDocument/2006/relationships/hyperlink" Target="https://wadhwanifoundation-my.sharepoint.com/:w:/g/personal/vaibhav_mattas_wadhwanifoundation_org/IQCx9pTPBMf8RIhfbrJ0wFrKATt1dPmdFta09A3S9G9-kCQ?e=cBqe8L" TargetMode="External"/><Relationship Id="rId47" Type="http://schemas.openxmlformats.org/officeDocument/2006/relationships/hyperlink" Target="https://wadhwanifoundation-my.sharepoint.com/:w:/g/personal/vaibhav_mattas_wadhwanifoundation_org/IQAccGSE8vflRYhagxBjHeYmAWQGHLbGBzZq7rlwKnp1NxM?e=g3hyPm" TargetMode="External"/><Relationship Id="rId68" Type="http://schemas.openxmlformats.org/officeDocument/2006/relationships/hyperlink" Target="https://wadhwanifoundation-my.sharepoint.com/:w:/g/personal/vaibhav_mattas_wadhwanifoundation_org/IQCXXJO89GsRQLHAFT97EBJYAb4FE5mO6uJ312Px2wm-UwI?e=LMadZG" TargetMode="External"/><Relationship Id="rId89" Type="http://schemas.openxmlformats.org/officeDocument/2006/relationships/hyperlink" Target="https://wadhwanifoundation-my.sharepoint.com/:w:/g/personal/vaibhav_mattas_wadhwanifoundation_org/IQD7zjlUER1AQYhPbvL1vaANAWlVV1Wy-45CY9yOn8zZ0vA?e=RPJWvK" TargetMode="External"/><Relationship Id="rId112" Type="http://schemas.openxmlformats.org/officeDocument/2006/relationships/hyperlink" Target="https://wadhwanifoundation-my.sharepoint.com/:w:/g/personal/vaibhav_mattas_wadhwanifoundation_org/IQANXYygWQ9_SbHSo2euRAu_AX8M2nnd1lYm6yQtIktOEA0?e=JKEeZT" TargetMode="External"/><Relationship Id="rId133" Type="http://schemas.openxmlformats.org/officeDocument/2006/relationships/hyperlink" Target="https://wadhwanifoundation-my.sharepoint.com/:w:/g/personal/vaibhav_mattas_wadhwanifoundation_org/IQB4v_Gc0t5mSa_Wux4Uxx4oAUj9mH5Qj97MVsI_UwhNKVI?e=yaxMGe" TargetMode="External"/><Relationship Id="rId154" Type="http://schemas.openxmlformats.org/officeDocument/2006/relationships/hyperlink" Target="https://wadhwanifoundation-my.sharepoint.com/:w:/g/personal/vaibhav_mattas_wadhwanifoundation_org/IQBSBozbK9BgQ7Km_y9N8-gYAQkORbTnL1rFyHpBID8r_PY?e=C818au" TargetMode="External"/><Relationship Id="rId16" Type="http://schemas.openxmlformats.org/officeDocument/2006/relationships/hyperlink" Target="https://wadhwanifoundation-my.sharepoint.com/:w:/g/personal/vaibhav_mattas_wadhwanifoundation_org/IQCVGBA4uVgsRqMonMkCFJZMAbS2pkvgPv6OqjSxBW7yVvM?e=3VyWSo" TargetMode="External"/><Relationship Id="rId37" Type="http://schemas.openxmlformats.org/officeDocument/2006/relationships/hyperlink" Target="https://wadhwanifoundation-my.sharepoint.com/:w:/g/personal/vaibhav_mattas_wadhwanifoundation_org/IQCYJPKobpZYT6tAP9BqBdXZAb-RLDP14Ahm-K4eaA-xJK8?e=29Ecq7" TargetMode="External"/><Relationship Id="rId58" Type="http://schemas.openxmlformats.org/officeDocument/2006/relationships/hyperlink" Target="../../../../../vaibhav_mattas_wadhwanifoundation_org/_layouts/15/Doc.aspx?sourcedoc=%7B12F654CD-BB18-466D-9989-8504E5CA3B89%7D&amp;file=Expert%20Connect%202%20_%20StemBotix%20x%20Wadhwani%20Accelerate.docx&amp;action=default&amp;mobileredirect=true&amp;DefaultItemOpen=1" TargetMode="External"/><Relationship Id="rId79" Type="http://schemas.openxmlformats.org/officeDocument/2006/relationships/hyperlink" Target="https://wadhwanifoundation-my.sharepoint.com/:w:/g/personal/vaibhav_mattas_wadhwanifoundation_org/IQBU6jsdVYIFR4LNiPS4APJxAUXqhyQD5RHXo4zWfMiaFdY?e=2VdIOh" TargetMode="External"/><Relationship Id="rId102" Type="http://schemas.openxmlformats.org/officeDocument/2006/relationships/hyperlink" Target="../../../../../vaibhav_mattas_wadhwanifoundation_org/_layouts/15/Doc.aspx?sourcedoc=%7B965A8195-49E4-47EC-93D9-CCCEE29A9892%7D&amp;file=Expert%20Connect%202%20_%20Airmeds%20x%20Wadhwani%20Accelerate.docx&amp;action=default&amp;mobileredirect=true&amp;DefaultItemOpen=1" TargetMode="External"/><Relationship Id="rId123" Type="http://schemas.openxmlformats.org/officeDocument/2006/relationships/hyperlink" Target="https://wadhwanifoundation-my.sharepoint.com/:w:/g/personal/vaibhav_mattas_wadhwanifoundation_org/IQBLeenkoSerT6XJzsKha0dcAfaZlYwffHVrgbU1AU46K5I?e=eD1fFR" TargetMode="External"/><Relationship Id="rId144" Type="http://schemas.openxmlformats.org/officeDocument/2006/relationships/hyperlink" Target="https://wadhwanifoundation-my.sharepoint.com/:w:/g/personal/vaibhav_mattas_wadhwanifoundation_org/IQCYSiud4rQGQLxvPa2ZwabCAdP2hJxbYXvVqLooBWumQjk?e=wEZtfp" TargetMode="External"/><Relationship Id="rId90" Type="http://schemas.openxmlformats.org/officeDocument/2006/relationships/hyperlink" Target="https://wadhwanifoundation-my.sharepoint.com/:w:/g/personal/vaibhav_mattas_wadhwanifoundation_org/IQD9W2BopuReQLYPeX5EFMmpAfTN7ukEbFm5xwC6Wd08ABk?e=aI9tp7" TargetMode="External"/><Relationship Id="rId165" Type="http://schemas.openxmlformats.org/officeDocument/2006/relationships/hyperlink" Target="https://wadhwanifoundation-my.sharepoint.com/:w:/g/personal/vaibhav_mattas_wadhwanifoundation_org/IQDLg4mEUyfJRoUbhelxKu9kAZ8LJforK3Q_9pu-lGbfskY?e=CKKQC4" TargetMode="External"/><Relationship Id="rId27" Type="http://schemas.openxmlformats.org/officeDocument/2006/relationships/hyperlink" Target="../../../../../vaibhav_mattas_wadhwanifoundation_org/_layouts/15/Doc.aspx?sourcedoc=%7B7767E729-A0AA-4ED9-80F0-F956E2752B2E%7D&amp;file=Expert%20Connect%203%20_%20Vaultastic%20x%20Wadhwani%20Accelerate.docx&amp;action=default&amp;mobileredirect=true&amp;DefaultItemOpen=1" TargetMode="External"/><Relationship Id="rId48" Type="http://schemas.openxmlformats.org/officeDocument/2006/relationships/hyperlink" Target="../../../../../vaibhav_mattas_wadhwanifoundation_org/_layouts/15/Doc.aspx?sourcedoc=%7B855DF62C-5226-4C3E-94D7-858B557126ED%7D&amp;file=Expert%20Connect%201%20_%20Velaan%20Mart%20x%20Wadhwani%20Accelerate.docx&amp;action=default&amp;mobileredirect=true&amp;DefaultItemOpen=1" TargetMode="External"/><Relationship Id="rId69" Type="http://schemas.openxmlformats.org/officeDocument/2006/relationships/hyperlink" Target="https://wadhwanifoundation-my.sharepoint.com/:w:/g/personal/vaibhav_mattas_wadhwanifoundation_org/IQAmwv626ar1QJAlRzGfGniWAf7sI8274GWfZOC8SAVDj8A?e=v8WyGX" TargetMode="External"/><Relationship Id="rId113" Type="http://schemas.openxmlformats.org/officeDocument/2006/relationships/hyperlink" Target="../../../../../vaibhav_mattas_wadhwanifoundation_org/_layouts/15/Doc.aspx?sourcedoc=%7BBF764CCC-E601-4FCA-B1E6-A45FFE6CA586%7D&amp;file=Expert%20Connect%201%20_%20Qarmatek%20x%20Wadhwani%20Accelerate.docx&amp;action=default&amp;mobileredirect=true&amp;DefaultItemOpen=1" TargetMode="External"/><Relationship Id="rId134" Type="http://schemas.openxmlformats.org/officeDocument/2006/relationships/hyperlink" Target="https://wadhwanifoundation-my.sharepoint.com/:w:/g/personal/vaibhav_mattas_wadhwanifoundation_org/IQAqLCEZdtCAT5f0O5WUZAinAWYAdyRi6pfRM9g34G973HQ?e=LsfGHV" TargetMode="External"/><Relationship Id="rId80" Type="http://schemas.openxmlformats.org/officeDocument/2006/relationships/hyperlink" Target="https://wadhwanifoundation-my.sharepoint.com/:w:/g/personal/vaibhav_mattas_wadhwanifoundation_org/IQBU6jsdVYIFR4LNiPS4APJxAUXqhyQD5RHXo4zWfMiaFdY?e=2VdIOh" TargetMode="External"/><Relationship Id="rId155" Type="http://schemas.openxmlformats.org/officeDocument/2006/relationships/hyperlink" Target="../../../../../vaibhav_mattas_wadhwanifoundation_org/_layouts/15/Doc.aspx?sourcedoc=%7BECCC3279-322F-4F62-95EB-376408D83B42%7D&amp;file=Expert%20Connect%204%20_%20Eximburg%20International%20x%20Wadhwani%20Accelerate%20(2).docx&amp;action=default&amp;mobileredirect=true&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947C8-DF83-461C-A83C-BA04DAB49429}">
  <dimension ref="A4:B35"/>
  <sheetViews>
    <sheetView workbookViewId="0">
      <selection activeCell="A4" sqref="A4"/>
    </sheetView>
  </sheetViews>
  <sheetFormatPr defaultRowHeight="14.4" x14ac:dyDescent="0.3"/>
  <cols>
    <col min="1" max="1" width="14" bestFit="1" customWidth="1"/>
    <col min="2" max="2" width="22" bestFit="1" customWidth="1"/>
    <col min="3" max="3" width="32" bestFit="1" customWidth="1"/>
    <col min="4" max="4" width="28.88671875" bestFit="1" customWidth="1"/>
    <col min="5" max="53" width="10.33203125" bestFit="1" customWidth="1"/>
    <col min="54" max="54" width="10.6640625" bestFit="1" customWidth="1"/>
    <col min="55" max="55" width="15.44140625" bestFit="1" customWidth="1"/>
    <col min="56" max="56" width="15.88671875" bestFit="1" customWidth="1"/>
    <col min="57" max="57" width="15.44140625" bestFit="1" customWidth="1"/>
    <col min="58" max="58" width="15.88671875" bestFit="1" customWidth="1"/>
    <col min="59" max="59" width="15.44140625" bestFit="1" customWidth="1"/>
    <col min="60" max="60" width="15.88671875" bestFit="1" customWidth="1"/>
    <col min="61" max="61" width="15.44140625" bestFit="1" customWidth="1"/>
    <col min="62" max="62" width="15.88671875" bestFit="1" customWidth="1"/>
    <col min="63" max="63" width="15.44140625" bestFit="1" customWidth="1"/>
    <col min="64" max="64" width="15.88671875" bestFit="1" customWidth="1"/>
    <col min="65" max="65" width="15.44140625" bestFit="1" customWidth="1"/>
    <col min="66" max="66" width="15.88671875" bestFit="1" customWidth="1"/>
    <col min="67" max="67" width="15.44140625" bestFit="1" customWidth="1"/>
    <col min="68" max="68" width="15.88671875" bestFit="1" customWidth="1"/>
    <col min="69" max="69" width="15.44140625" bestFit="1" customWidth="1"/>
    <col min="70" max="70" width="15.88671875" bestFit="1" customWidth="1"/>
    <col min="71" max="71" width="15.44140625" bestFit="1" customWidth="1"/>
    <col min="72" max="72" width="15.88671875" bestFit="1" customWidth="1"/>
    <col min="73" max="73" width="15.44140625" bestFit="1" customWidth="1"/>
    <col min="74" max="74" width="15.88671875" bestFit="1" customWidth="1"/>
    <col min="75" max="75" width="15.44140625" bestFit="1" customWidth="1"/>
    <col min="76" max="76" width="15.88671875" bestFit="1" customWidth="1"/>
    <col min="77" max="77" width="15.44140625" bestFit="1" customWidth="1"/>
    <col min="78" max="78" width="15.88671875" bestFit="1" customWidth="1"/>
    <col min="79" max="79" width="15.44140625" bestFit="1" customWidth="1"/>
    <col min="80" max="80" width="15.88671875" bestFit="1" customWidth="1"/>
    <col min="81" max="81" width="15.44140625" bestFit="1" customWidth="1"/>
    <col min="82" max="82" width="15.88671875" bestFit="1" customWidth="1"/>
    <col min="83" max="83" width="15.44140625" bestFit="1" customWidth="1"/>
    <col min="84" max="84" width="15.88671875" bestFit="1" customWidth="1"/>
    <col min="85" max="85" width="15.44140625" bestFit="1" customWidth="1"/>
    <col min="86" max="86" width="15.88671875" bestFit="1" customWidth="1"/>
    <col min="87" max="87" width="15.44140625" bestFit="1" customWidth="1"/>
    <col min="88" max="88" width="15.88671875" bestFit="1" customWidth="1"/>
    <col min="89" max="89" width="15.44140625" bestFit="1" customWidth="1"/>
    <col min="90" max="90" width="15.88671875" bestFit="1" customWidth="1"/>
    <col min="91" max="91" width="15.44140625" bestFit="1" customWidth="1"/>
    <col min="92" max="92" width="15.88671875" bestFit="1" customWidth="1"/>
    <col min="93" max="93" width="15.44140625" bestFit="1" customWidth="1"/>
    <col min="94" max="94" width="15.88671875" bestFit="1" customWidth="1"/>
    <col min="95" max="95" width="15.44140625" bestFit="1" customWidth="1"/>
    <col min="96" max="96" width="15.88671875" bestFit="1" customWidth="1"/>
    <col min="97" max="97" width="15.44140625" bestFit="1" customWidth="1"/>
    <col min="98" max="98" width="15.88671875" bestFit="1" customWidth="1"/>
    <col min="99" max="99" width="15.44140625" bestFit="1" customWidth="1"/>
    <col min="100" max="100" width="15.88671875" bestFit="1" customWidth="1"/>
    <col min="101" max="101" width="15.44140625" bestFit="1" customWidth="1"/>
    <col min="102" max="102" width="15.88671875" bestFit="1" customWidth="1"/>
    <col min="103" max="103" width="15.44140625" bestFit="1" customWidth="1"/>
    <col min="104" max="104" width="15.88671875" bestFit="1" customWidth="1"/>
    <col min="105" max="105" width="15.44140625" bestFit="1" customWidth="1"/>
    <col min="106" max="106" width="20.88671875" bestFit="1" customWidth="1"/>
    <col min="107" max="107" width="20.44140625" bestFit="1" customWidth="1"/>
    <col min="108" max="108" width="15.88671875" bestFit="1" customWidth="1"/>
    <col min="109" max="109" width="15.44140625" bestFit="1" customWidth="1"/>
    <col min="110" max="110" width="13" bestFit="1" customWidth="1"/>
    <col min="111" max="111" width="15.88671875" bestFit="1" customWidth="1"/>
    <col min="112" max="112" width="15.44140625" bestFit="1" customWidth="1"/>
    <col min="113" max="113" width="13" bestFit="1" customWidth="1"/>
    <col min="114" max="114" width="15.88671875" bestFit="1" customWidth="1"/>
    <col min="115" max="115" width="15.44140625" bestFit="1" customWidth="1"/>
    <col min="116" max="116" width="13" bestFit="1" customWidth="1"/>
    <col min="117" max="117" width="15.88671875" bestFit="1" customWidth="1"/>
    <col min="118" max="118" width="15.44140625" bestFit="1" customWidth="1"/>
    <col min="119" max="119" width="13" bestFit="1" customWidth="1"/>
    <col min="120" max="120" width="15.88671875" bestFit="1" customWidth="1"/>
    <col min="121" max="121" width="15.44140625" bestFit="1" customWidth="1"/>
    <col min="122" max="122" width="13" bestFit="1" customWidth="1"/>
    <col min="123" max="123" width="15.88671875" bestFit="1" customWidth="1"/>
    <col min="124" max="124" width="15.44140625" bestFit="1" customWidth="1"/>
    <col min="125" max="125" width="13" bestFit="1" customWidth="1"/>
    <col min="126" max="126" width="15.88671875" bestFit="1" customWidth="1"/>
    <col min="127" max="127" width="15.44140625" bestFit="1" customWidth="1"/>
    <col min="128" max="128" width="13" bestFit="1" customWidth="1"/>
    <col min="129" max="129" width="15.88671875" bestFit="1" customWidth="1"/>
    <col min="130" max="130" width="15.44140625" bestFit="1" customWidth="1"/>
    <col min="131" max="131" width="13" bestFit="1" customWidth="1"/>
    <col min="132" max="132" width="15.88671875" bestFit="1" customWidth="1"/>
    <col min="133" max="133" width="15.44140625" bestFit="1" customWidth="1"/>
    <col min="134" max="134" width="13" bestFit="1" customWidth="1"/>
    <col min="135" max="135" width="15.88671875" bestFit="1" customWidth="1"/>
    <col min="136" max="136" width="15.44140625" bestFit="1" customWidth="1"/>
    <col min="137" max="137" width="13" bestFit="1" customWidth="1"/>
    <col min="138" max="138" width="15.88671875" bestFit="1" customWidth="1"/>
    <col min="139" max="139" width="15.44140625" bestFit="1" customWidth="1"/>
    <col min="140" max="140" width="13" bestFit="1" customWidth="1"/>
    <col min="141" max="141" width="15.88671875" bestFit="1" customWidth="1"/>
    <col min="142" max="142" width="15.44140625" bestFit="1" customWidth="1"/>
    <col min="143" max="143" width="13" bestFit="1" customWidth="1"/>
    <col min="144" max="144" width="15.88671875" bestFit="1" customWidth="1"/>
    <col min="145" max="145" width="15.44140625" bestFit="1" customWidth="1"/>
    <col min="146" max="146" width="13" bestFit="1" customWidth="1"/>
    <col min="147" max="147" width="15.88671875" bestFit="1" customWidth="1"/>
    <col min="148" max="148" width="15.44140625" bestFit="1" customWidth="1"/>
    <col min="149" max="149" width="13" bestFit="1" customWidth="1"/>
    <col min="150" max="150" width="15.88671875" bestFit="1" customWidth="1"/>
    <col min="151" max="151" width="15.44140625" bestFit="1" customWidth="1"/>
    <col min="152" max="152" width="13" bestFit="1" customWidth="1"/>
    <col min="153" max="153" width="15.88671875" bestFit="1" customWidth="1"/>
    <col min="154" max="154" width="15.44140625" bestFit="1" customWidth="1"/>
    <col min="155" max="155" width="13" bestFit="1" customWidth="1"/>
    <col min="156" max="156" width="15.88671875" bestFit="1" customWidth="1"/>
    <col min="157" max="157" width="15.44140625" bestFit="1" customWidth="1"/>
    <col min="158" max="158" width="18" bestFit="1" customWidth="1"/>
    <col min="159" max="159" width="20.88671875" bestFit="1" customWidth="1"/>
    <col min="160" max="160" width="20.44140625" bestFit="1" customWidth="1"/>
  </cols>
  <sheetData>
    <row r="4" spans="1:2" x14ac:dyDescent="0.3">
      <c r="A4" s="42" t="s">
        <v>0</v>
      </c>
      <c r="B4" t="s">
        <v>1</v>
      </c>
    </row>
    <row r="5" spans="1:2" x14ac:dyDescent="0.3">
      <c r="A5" s="43">
        <v>45894</v>
      </c>
      <c r="B5">
        <v>1</v>
      </c>
    </row>
    <row r="6" spans="1:2" x14ac:dyDescent="0.3">
      <c r="A6" s="43">
        <v>45901</v>
      </c>
      <c r="B6">
        <v>3</v>
      </c>
    </row>
    <row r="7" spans="1:2" x14ac:dyDescent="0.3">
      <c r="A7" s="43">
        <v>45915</v>
      </c>
      <c r="B7">
        <v>1</v>
      </c>
    </row>
    <row r="8" spans="1:2" x14ac:dyDescent="0.3">
      <c r="A8" s="43">
        <v>45922</v>
      </c>
      <c r="B8">
        <v>1</v>
      </c>
    </row>
    <row r="9" spans="1:2" x14ac:dyDescent="0.3">
      <c r="A9" s="43">
        <v>45936</v>
      </c>
      <c r="B9">
        <v>1</v>
      </c>
    </row>
    <row r="10" spans="1:2" x14ac:dyDescent="0.3">
      <c r="A10" s="43">
        <v>45943</v>
      </c>
      <c r="B10">
        <v>5</v>
      </c>
    </row>
    <row r="11" spans="1:2" x14ac:dyDescent="0.3">
      <c r="A11" s="43">
        <v>45957</v>
      </c>
      <c r="B11">
        <v>6</v>
      </c>
    </row>
    <row r="12" spans="1:2" x14ac:dyDescent="0.3">
      <c r="A12" s="43">
        <v>45971</v>
      </c>
      <c r="B12">
        <v>8</v>
      </c>
    </row>
    <row r="13" spans="1:2" x14ac:dyDescent="0.3">
      <c r="A13" s="43">
        <v>45978</v>
      </c>
      <c r="B13">
        <v>1</v>
      </c>
    </row>
    <row r="14" spans="1:2" x14ac:dyDescent="0.3">
      <c r="A14" s="43">
        <v>45985</v>
      </c>
      <c r="B14">
        <v>3</v>
      </c>
    </row>
    <row r="15" spans="1:2" x14ac:dyDescent="0.3">
      <c r="A15" s="43">
        <v>45992</v>
      </c>
      <c r="B15">
        <v>1</v>
      </c>
    </row>
    <row r="16" spans="1:2" x14ac:dyDescent="0.3">
      <c r="A16" s="43">
        <v>45999</v>
      </c>
      <c r="B16">
        <v>7</v>
      </c>
    </row>
    <row r="17" spans="1:2" x14ac:dyDescent="0.3">
      <c r="A17" s="43">
        <v>46006</v>
      </c>
      <c r="B17">
        <v>12</v>
      </c>
    </row>
    <row r="18" spans="1:2" x14ac:dyDescent="0.3">
      <c r="A18" s="43">
        <v>46013</v>
      </c>
      <c r="B18">
        <v>3</v>
      </c>
    </row>
    <row r="19" spans="1:2" x14ac:dyDescent="0.3">
      <c r="A19" s="43">
        <v>46020</v>
      </c>
      <c r="B19">
        <v>5</v>
      </c>
    </row>
    <row r="20" spans="1:2" x14ac:dyDescent="0.3">
      <c r="A20" s="43">
        <v>46027</v>
      </c>
      <c r="B20">
        <v>6</v>
      </c>
    </row>
    <row r="21" spans="1:2" x14ac:dyDescent="0.3">
      <c r="A21" s="43">
        <v>46034</v>
      </c>
      <c r="B21">
        <v>5</v>
      </c>
    </row>
    <row r="22" spans="1:2" x14ac:dyDescent="0.3">
      <c r="A22" s="43">
        <v>46041</v>
      </c>
      <c r="B22">
        <v>9</v>
      </c>
    </row>
    <row r="23" spans="1:2" x14ac:dyDescent="0.3">
      <c r="A23" s="43">
        <v>46048</v>
      </c>
      <c r="B23">
        <v>4</v>
      </c>
    </row>
    <row r="24" spans="1:2" x14ac:dyDescent="0.3">
      <c r="A24" s="43">
        <v>46055</v>
      </c>
      <c r="B24">
        <v>7</v>
      </c>
    </row>
    <row r="25" spans="1:2" x14ac:dyDescent="0.3">
      <c r="A25" s="43">
        <v>46062</v>
      </c>
      <c r="B25">
        <v>7</v>
      </c>
    </row>
    <row r="26" spans="1:2" x14ac:dyDescent="0.3">
      <c r="A26" s="43">
        <v>46069</v>
      </c>
      <c r="B26">
        <v>8</v>
      </c>
    </row>
    <row r="27" spans="1:2" x14ac:dyDescent="0.3">
      <c r="A27" s="43">
        <v>46076</v>
      </c>
      <c r="B27">
        <v>4</v>
      </c>
    </row>
    <row r="28" spans="1:2" x14ac:dyDescent="0.3">
      <c r="A28" s="43">
        <v>46083</v>
      </c>
      <c r="B28">
        <v>1</v>
      </c>
    </row>
    <row r="29" spans="1:2" x14ac:dyDescent="0.3">
      <c r="A29" s="43">
        <v>46090</v>
      </c>
      <c r="B29">
        <v>4</v>
      </c>
    </row>
    <row r="30" spans="1:2" x14ac:dyDescent="0.3">
      <c r="A30" s="43">
        <v>46097</v>
      </c>
      <c r="B30">
        <v>2</v>
      </c>
    </row>
    <row r="31" spans="1:2" x14ac:dyDescent="0.3">
      <c r="A31" s="43">
        <v>46104</v>
      </c>
      <c r="B31">
        <v>2</v>
      </c>
    </row>
    <row r="32" spans="1:2" x14ac:dyDescent="0.3">
      <c r="A32" s="43">
        <v>46111</v>
      </c>
      <c r="B32">
        <v>1</v>
      </c>
    </row>
    <row r="33" spans="1:2" x14ac:dyDescent="0.3">
      <c r="A33" s="43">
        <v>46118</v>
      </c>
      <c r="B33">
        <v>3</v>
      </c>
    </row>
    <row r="34" spans="1:2" x14ac:dyDescent="0.3">
      <c r="A34" s="43">
        <v>46125</v>
      </c>
      <c r="B34">
        <v>1</v>
      </c>
    </row>
    <row r="35" spans="1:2" x14ac:dyDescent="0.3">
      <c r="A35" s="44" t="s">
        <v>2</v>
      </c>
      <c r="B35">
        <v>122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B1818"/>
  </sheetPr>
  <dimension ref="A1:AI125"/>
  <sheetViews>
    <sheetView tabSelected="1" topLeftCell="A116" zoomScaleNormal="100" workbookViewId="0">
      <selection activeCell="C119" sqref="C119"/>
    </sheetView>
  </sheetViews>
  <sheetFormatPr defaultColWidth="8.6640625" defaultRowHeight="19.2" customHeight="1" x14ac:dyDescent="0.3"/>
  <cols>
    <col min="1" max="1" width="12.109375" customWidth="1"/>
    <col min="2" max="2" width="26.6640625" customWidth="1"/>
    <col min="3" max="3" width="26" customWidth="1"/>
    <col min="4" max="4" width="18.88671875" style="4" customWidth="1"/>
    <col min="5" max="5" width="24" customWidth="1"/>
    <col min="6" max="6" width="44.33203125" customWidth="1"/>
    <col min="7" max="7" width="14" bestFit="1" customWidth="1"/>
    <col min="8" max="10" width="15.33203125" customWidth="1"/>
    <col min="11" max="11" width="18.5546875" customWidth="1"/>
    <col min="12" max="13" width="14" customWidth="1"/>
    <col min="14" max="14" width="16.6640625" bestFit="1" customWidth="1"/>
    <col min="15" max="15" width="16.33203125" customWidth="1"/>
    <col min="16" max="16" width="15.33203125" style="18" customWidth="1"/>
    <col min="17" max="17" width="27.6640625" customWidth="1"/>
    <col min="18" max="18" width="36" style="19" customWidth="1"/>
    <col min="19" max="19" width="36.5546875" style="19" bestFit="1" customWidth="1"/>
    <col min="20" max="20" width="42.44140625" style="19" customWidth="1"/>
    <col min="21" max="22" width="16" style="19" customWidth="1"/>
    <col min="23" max="23" width="20.33203125" customWidth="1"/>
    <col min="24" max="24" width="17.44140625" customWidth="1"/>
    <col min="25" max="25" width="15.6640625" customWidth="1"/>
    <col min="26" max="26" width="17.109375" customWidth="1"/>
    <col min="27" max="27" width="21.109375" customWidth="1"/>
    <col min="28" max="28" width="28" customWidth="1"/>
    <col min="29" max="29" width="20" customWidth="1"/>
    <col min="30" max="30" width="18.109375" customWidth="1"/>
    <col min="31" max="31" width="15.6640625" bestFit="1" customWidth="1"/>
    <col min="32" max="32" width="23.33203125" customWidth="1"/>
    <col min="33" max="33" width="29.6640625" customWidth="1"/>
    <col min="34" max="34" width="18" customWidth="1"/>
    <col min="35" max="35" width="12.88671875" bestFit="1" customWidth="1"/>
  </cols>
  <sheetData>
    <row r="1" spans="1:35" ht="28.8" x14ac:dyDescent="0.3">
      <c r="A1" s="2" t="s">
        <v>3</v>
      </c>
      <c r="B1" s="2" t="s">
        <v>4</v>
      </c>
      <c r="C1" s="21" t="s">
        <v>5</v>
      </c>
      <c r="D1" s="2" t="s">
        <v>6</v>
      </c>
      <c r="E1" s="2" t="s">
        <v>7</v>
      </c>
      <c r="F1" s="2" t="s">
        <v>8</v>
      </c>
      <c r="G1" s="2" t="s">
        <v>9</v>
      </c>
      <c r="H1" s="22" t="s">
        <v>10</v>
      </c>
      <c r="I1" s="22" t="s">
        <v>11</v>
      </c>
      <c r="J1" s="22" t="s">
        <v>12</v>
      </c>
      <c r="K1" s="22" t="s">
        <v>13</v>
      </c>
      <c r="L1" s="1" t="s">
        <v>14</v>
      </c>
      <c r="M1" s="1" t="s">
        <v>15</v>
      </c>
      <c r="N1" s="1" t="s">
        <v>16</v>
      </c>
      <c r="O1" s="1" t="s">
        <v>17</v>
      </c>
      <c r="P1" s="1" t="s">
        <v>18</v>
      </c>
      <c r="Q1" s="1" t="s">
        <v>19</v>
      </c>
      <c r="R1" s="3" t="s">
        <v>20</v>
      </c>
      <c r="S1" s="3" t="s">
        <v>21</v>
      </c>
      <c r="T1" s="3" t="s">
        <v>22</v>
      </c>
      <c r="U1" s="1" t="s">
        <v>23</v>
      </c>
      <c r="V1" s="1" t="s">
        <v>24</v>
      </c>
      <c r="W1" s="1" t="s">
        <v>25</v>
      </c>
      <c r="X1" s="1" t="s">
        <v>26</v>
      </c>
      <c r="Y1" s="1" t="s">
        <v>27</v>
      </c>
      <c r="Z1" s="1" t="s">
        <v>28</v>
      </c>
      <c r="AA1" s="1" t="s">
        <v>29</v>
      </c>
      <c r="AB1" s="2" t="s">
        <v>30</v>
      </c>
      <c r="AC1" s="1" t="s">
        <v>31</v>
      </c>
      <c r="AD1" s="1" t="s">
        <v>32</v>
      </c>
      <c r="AE1" s="1" t="s">
        <v>33</v>
      </c>
      <c r="AF1" s="1" t="s">
        <v>34</v>
      </c>
      <c r="AG1" s="1" t="s">
        <v>35</v>
      </c>
      <c r="AH1" s="39" t="s">
        <v>36</v>
      </c>
      <c r="AI1" s="39" t="s">
        <v>37</v>
      </c>
    </row>
    <row r="2" spans="1:35" s="4" customFormat="1" ht="19.2" customHeight="1" x14ac:dyDescent="0.3">
      <c r="A2" s="24" t="s">
        <v>38</v>
      </c>
      <c r="B2" s="6" t="s">
        <v>39</v>
      </c>
      <c r="C2" s="7" t="s">
        <v>40</v>
      </c>
      <c r="D2" s="8" t="s">
        <v>41</v>
      </c>
      <c r="E2" s="8" t="s">
        <v>42</v>
      </c>
      <c r="F2" s="8"/>
      <c r="G2" s="9" t="s">
        <v>43</v>
      </c>
      <c r="H2" s="5">
        <v>45848</v>
      </c>
      <c r="I2" s="5">
        <v>46239</v>
      </c>
      <c r="J2" s="5">
        <v>46239</v>
      </c>
      <c r="K2" s="5">
        <v>45895</v>
      </c>
      <c r="L2" s="5">
        <v>45903</v>
      </c>
      <c r="M2" s="9"/>
      <c r="N2" s="9">
        <v>54</v>
      </c>
      <c r="O2" s="10" t="s">
        <v>44</v>
      </c>
      <c r="P2" s="11" t="s">
        <v>45</v>
      </c>
      <c r="Q2" s="12"/>
      <c r="R2" s="9" t="s">
        <v>46</v>
      </c>
      <c r="S2" s="9" t="s">
        <v>47</v>
      </c>
      <c r="T2" s="9" t="s">
        <v>47</v>
      </c>
      <c r="U2" s="9"/>
      <c r="V2" s="9" t="s">
        <v>48</v>
      </c>
      <c r="W2" s="9"/>
      <c r="X2" s="9"/>
      <c r="Y2" s="9"/>
      <c r="Z2" s="9"/>
      <c r="AA2" s="9"/>
      <c r="AB2" s="9"/>
      <c r="AC2" s="9" t="s">
        <v>49</v>
      </c>
      <c r="AD2" s="25" t="s">
        <v>50</v>
      </c>
      <c r="AE2" s="26">
        <v>115006731217</v>
      </c>
      <c r="AF2" s="25" t="s">
        <v>51</v>
      </c>
      <c r="AG2" s="25" t="s">
        <v>52</v>
      </c>
      <c r="AH2" s="40">
        <f>IF(ISBLANK(SessionTracker[[#This Row],[Preferred Mentor Selected On]]),"",SessionTracker[[#This Row],[Preferred Mentor Selected On]]-WEEKDAY(SessionTracker[[#This Row],[Preferred Mentor Selected On]],2)+1)</f>
        <v>45894</v>
      </c>
      <c r="AI2" s="40">
        <f>IF(ISBLANK(SessionTracker[[#This Row],[Meeting Date]]),"",SessionTracker[[#This Row],[Meeting Date]]-WEEKDAY(SessionTracker[[#This Row],[Meeting Date]],2)+1)</f>
        <v>45901</v>
      </c>
    </row>
    <row r="3" spans="1:35" ht="19.2" customHeight="1" x14ac:dyDescent="0.3">
      <c r="A3" s="24" t="s">
        <v>53</v>
      </c>
      <c r="B3" s="6" t="s">
        <v>39</v>
      </c>
      <c r="C3" s="7" t="s">
        <v>40</v>
      </c>
      <c r="D3" s="8" t="s">
        <v>41</v>
      </c>
      <c r="E3" s="8" t="s">
        <v>54</v>
      </c>
      <c r="F3" s="8"/>
      <c r="G3" s="9" t="s">
        <v>43</v>
      </c>
      <c r="H3" s="5">
        <v>45848</v>
      </c>
      <c r="I3" s="5">
        <v>46239</v>
      </c>
      <c r="J3" s="5">
        <v>46239</v>
      </c>
      <c r="K3" s="5">
        <v>45895</v>
      </c>
      <c r="L3" s="5">
        <v>46010</v>
      </c>
      <c r="M3" s="13"/>
      <c r="N3" s="13"/>
      <c r="O3" s="10" t="s">
        <v>44</v>
      </c>
      <c r="P3" s="14"/>
      <c r="Q3" s="14"/>
      <c r="R3" s="9"/>
      <c r="S3" s="9" t="s">
        <v>55</v>
      </c>
      <c r="T3" s="9" t="s">
        <v>56</v>
      </c>
      <c r="U3" s="13"/>
      <c r="V3" s="9" t="s">
        <v>48</v>
      </c>
      <c r="W3" s="13"/>
      <c r="X3" s="13"/>
      <c r="Y3" s="13"/>
      <c r="Z3" s="13"/>
      <c r="AA3" s="13"/>
      <c r="AB3" s="13"/>
      <c r="AC3" s="9" t="s">
        <v>49</v>
      </c>
      <c r="AD3" s="27" t="s">
        <v>50</v>
      </c>
      <c r="AE3" s="28">
        <v>115029736543</v>
      </c>
      <c r="AF3" s="27" t="s">
        <v>51</v>
      </c>
      <c r="AG3" s="27" t="s">
        <v>57</v>
      </c>
      <c r="AH3" s="41">
        <f>IF(ISBLANK(SessionTracker[[#This Row],[Preferred Mentor Selected On]]),"",SessionTracker[[#This Row],[Preferred Mentor Selected On]]-WEEKDAY(SessionTracker[[#This Row],[Preferred Mentor Selected On]],2)+1)</f>
        <v>45894</v>
      </c>
      <c r="AI3" s="40">
        <f>IF(ISBLANK(SessionTracker[[#This Row],[Meeting Date]]),"",SessionTracker[[#This Row],[Meeting Date]]-WEEKDAY(SessionTracker[[#This Row],[Meeting Date]],2)+1)</f>
        <v>46006</v>
      </c>
    </row>
    <row r="4" spans="1:35" ht="19.2" customHeight="1" x14ac:dyDescent="0.3">
      <c r="A4" s="24" t="s">
        <v>58</v>
      </c>
      <c r="B4" s="6" t="s">
        <v>39</v>
      </c>
      <c r="C4" s="7" t="s">
        <v>40</v>
      </c>
      <c r="D4" s="8" t="s">
        <v>41</v>
      </c>
      <c r="E4" s="8" t="s">
        <v>59</v>
      </c>
      <c r="F4" s="8"/>
      <c r="G4" s="9" t="s">
        <v>43</v>
      </c>
      <c r="H4" s="5">
        <v>45848</v>
      </c>
      <c r="I4" s="5">
        <v>46239</v>
      </c>
      <c r="J4" s="5">
        <v>46239</v>
      </c>
      <c r="K4" s="5">
        <v>45895</v>
      </c>
      <c r="L4" s="5">
        <v>45903</v>
      </c>
      <c r="M4" s="13"/>
      <c r="N4" s="13">
        <v>59</v>
      </c>
      <c r="O4" s="10" t="s">
        <v>44</v>
      </c>
      <c r="P4" s="14"/>
      <c r="Q4" s="12"/>
      <c r="R4" s="9"/>
      <c r="S4" s="9" t="s">
        <v>47</v>
      </c>
      <c r="T4" s="9" t="s">
        <v>47</v>
      </c>
      <c r="U4" s="13"/>
      <c r="V4" s="9" t="s">
        <v>48</v>
      </c>
      <c r="W4" s="13"/>
      <c r="X4" s="13"/>
      <c r="Y4" s="13"/>
      <c r="Z4" s="13"/>
      <c r="AA4" s="13"/>
      <c r="AB4" s="13"/>
      <c r="AC4" s="9" t="s">
        <v>60</v>
      </c>
      <c r="AD4" s="27" t="s">
        <v>50</v>
      </c>
      <c r="AE4" s="28">
        <v>0</v>
      </c>
      <c r="AF4" s="27" t="s">
        <v>51</v>
      </c>
      <c r="AG4" s="27" t="s">
        <v>61</v>
      </c>
      <c r="AH4" s="41">
        <f>IF(ISBLANK(SessionTracker[[#This Row],[Preferred Mentor Selected On]]),"",SessionTracker[[#This Row],[Preferred Mentor Selected On]]-WEEKDAY(SessionTracker[[#This Row],[Preferred Mentor Selected On]],2)+1)</f>
        <v>45894</v>
      </c>
      <c r="AI4" s="40">
        <f>IF(ISBLANK(SessionTracker[[#This Row],[Meeting Date]]),"",SessionTracker[[#This Row],[Meeting Date]]-WEEKDAY(SessionTracker[[#This Row],[Meeting Date]],2)+1)</f>
        <v>45901</v>
      </c>
    </row>
    <row r="5" spans="1:35" ht="19.2" customHeight="1" x14ac:dyDescent="0.3">
      <c r="A5" s="24" t="s">
        <v>62</v>
      </c>
      <c r="B5" s="6" t="s">
        <v>63</v>
      </c>
      <c r="C5" s="7" t="s">
        <v>64</v>
      </c>
      <c r="D5" s="8" t="s">
        <v>41</v>
      </c>
      <c r="E5" s="8" t="s">
        <v>65</v>
      </c>
      <c r="F5" s="8"/>
      <c r="G5" s="9" t="s">
        <v>43</v>
      </c>
      <c r="H5" s="5">
        <v>45854</v>
      </c>
      <c r="I5" s="5">
        <v>46239</v>
      </c>
      <c r="J5" s="5">
        <v>46239</v>
      </c>
      <c r="K5" s="5">
        <v>45891</v>
      </c>
      <c r="L5" s="5">
        <v>45960</v>
      </c>
      <c r="M5" s="13"/>
      <c r="N5" s="13">
        <v>87</v>
      </c>
      <c r="O5" s="10" t="s">
        <v>44</v>
      </c>
      <c r="P5" s="15"/>
      <c r="Q5" s="16"/>
      <c r="R5" s="17"/>
      <c r="S5" s="9" t="s">
        <v>47</v>
      </c>
      <c r="T5" s="9" t="s">
        <v>47</v>
      </c>
      <c r="U5" s="13"/>
      <c r="V5" s="9" t="s">
        <v>48</v>
      </c>
      <c r="W5" s="13"/>
      <c r="X5" s="13"/>
      <c r="Y5" s="13"/>
      <c r="Z5" s="13"/>
      <c r="AA5" s="13"/>
      <c r="AB5" s="13"/>
      <c r="AC5" s="9" t="s">
        <v>49</v>
      </c>
      <c r="AD5" s="27" t="s">
        <v>50</v>
      </c>
      <c r="AE5" s="28">
        <v>115029727801</v>
      </c>
      <c r="AF5" s="27" t="s">
        <v>51</v>
      </c>
      <c r="AG5" s="27" t="s">
        <v>66</v>
      </c>
      <c r="AH5" s="41">
        <f>IF(ISBLANK(SessionTracker[[#This Row],[Preferred Mentor Selected On]]),"",SessionTracker[[#This Row],[Preferred Mentor Selected On]]-WEEKDAY(SessionTracker[[#This Row],[Preferred Mentor Selected On]],2)+1)</f>
        <v>45887</v>
      </c>
      <c r="AI5" s="40">
        <f>IF(ISBLANK(SessionTracker[[#This Row],[Meeting Date]]),"",SessionTracker[[#This Row],[Meeting Date]]-WEEKDAY(SessionTracker[[#This Row],[Meeting Date]],2)+1)</f>
        <v>45957</v>
      </c>
    </row>
    <row r="6" spans="1:35" ht="19.2" customHeight="1" x14ac:dyDescent="0.3">
      <c r="A6" s="24" t="s">
        <v>67</v>
      </c>
      <c r="B6" s="6" t="s">
        <v>63</v>
      </c>
      <c r="C6" s="7" t="s">
        <v>64</v>
      </c>
      <c r="D6" s="8" t="s">
        <v>41</v>
      </c>
      <c r="E6" s="8" t="s">
        <v>68</v>
      </c>
      <c r="F6" s="8"/>
      <c r="G6" s="9" t="s">
        <v>43</v>
      </c>
      <c r="H6" s="5">
        <v>45854</v>
      </c>
      <c r="I6" s="5">
        <v>46239</v>
      </c>
      <c r="J6" s="5">
        <v>46239</v>
      </c>
      <c r="K6" s="5">
        <v>45891</v>
      </c>
      <c r="L6" s="5">
        <v>45960</v>
      </c>
      <c r="M6" s="27"/>
      <c r="N6" s="29"/>
      <c r="O6" s="10" t="s">
        <v>44</v>
      </c>
      <c r="P6" s="30"/>
      <c r="Q6" s="20"/>
      <c r="R6" s="9"/>
      <c r="S6" s="9" t="s">
        <v>47</v>
      </c>
      <c r="T6" s="9" t="s">
        <v>47</v>
      </c>
      <c r="U6" s="27"/>
      <c r="V6" s="9" t="s">
        <v>48</v>
      </c>
      <c r="W6" s="27"/>
      <c r="X6" s="27"/>
      <c r="Y6" s="27"/>
      <c r="Z6" s="27"/>
      <c r="AA6" s="27"/>
      <c r="AB6" s="27"/>
      <c r="AC6" s="9" t="s">
        <v>60</v>
      </c>
      <c r="AD6" s="27" t="s">
        <v>50</v>
      </c>
      <c r="AE6" s="28">
        <v>115029714292</v>
      </c>
      <c r="AF6" s="27" t="s">
        <v>51</v>
      </c>
      <c r="AG6" s="27" t="s">
        <v>52</v>
      </c>
      <c r="AH6" s="41">
        <f>IF(ISBLANK(SessionTracker[[#This Row],[Preferred Mentor Selected On]]),"",SessionTracker[[#This Row],[Preferred Mentor Selected On]]-WEEKDAY(SessionTracker[[#This Row],[Preferred Mentor Selected On]],2)+1)</f>
        <v>45887</v>
      </c>
      <c r="AI6" s="40">
        <f>IF(ISBLANK(SessionTracker[[#This Row],[Meeting Date]]),"",SessionTracker[[#This Row],[Meeting Date]]-WEEKDAY(SessionTracker[[#This Row],[Meeting Date]],2)+1)</f>
        <v>45957</v>
      </c>
    </row>
    <row r="7" spans="1:35" ht="19.2" customHeight="1" x14ac:dyDescent="0.3">
      <c r="A7" s="24" t="s">
        <v>69</v>
      </c>
      <c r="B7" s="6" t="s">
        <v>63</v>
      </c>
      <c r="C7" s="7" t="s">
        <v>64</v>
      </c>
      <c r="D7" s="8" t="s">
        <v>41</v>
      </c>
      <c r="E7" s="8" t="s">
        <v>70</v>
      </c>
      <c r="F7" s="8"/>
      <c r="G7" s="9" t="s">
        <v>43</v>
      </c>
      <c r="H7" s="5">
        <v>45854</v>
      </c>
      <c r="I7" s="5">
        <v>46239</v>
      </c>
      <c r="J7" s="5">
        <v>46239</v>
      </c>
      <c r="K7" s="5">
        <v>45891</v>
      </c>
      <c r="L7" s="5">
        <v>45960</v>
      </c>
      <c r="M7" s="27"/>
      <c r="N7" s="29"/>
      <c r="O7" s="10" t="s">
        <v>44</v>
      </c>
      <c r="P7" s="30"/>
      <c r="Q7" s="30"/>
      <c r="R7" s="9"/>
      <c r="S7" s="9" t="s">
        <v>47</v>
      </c>
      <c r="T7" s="9" t="s">
        <v>47</v>
      </c>
      <c r="U7" s="27"/>
      <c r="V7" s="9" t="s">
        <v>48</v>
      </c>
      <c r="W7" s="27"/>
      <c r="X7" s="27"/>
      <c r="Y7" s="27"/>
      <c r="Z7" s="27"/>
      <c r="AA7" s="27"/>
      <c r="AB7" s="27"/>
      <c r="AC7" s="9" t="s">
        <v>60</v>
      </c>
      <c r="AD7" s="27" t="s">
        <v>50</v>
      </c>
      <c r="AE7" s="28">
        <v>115006727644</v>
      </c>
      <c r="AF7" s="27" t="s">
        <v>51</v>
      </c>
      <c r="AG7" s="27" t="s">
        <v>66</v>
      </c>
      <c r="AH7" s="41">
        <f>IF(ISBLANK(SessionTracker[[#This Row],[Preferred Mentor Selected On]]),"",SessionTracker[[#This Row],[Preferred Mentor Selected On]]-WEEKDAY(SessionTracker[[#This Row],[Preferred Mentor Selected On]],2)+1)</f>
        <v>45887</v>
      </c>
      <c r="AI7" s="40">
        <f>IF(ISBLANK(SessionTracker[[#This Row],[Meeting Date]]),"",SessionTracker[[#This Row],[Meeting Date]]-WEEKDAY(SessionTracker[[#This Row],[Meeting Date]],2)+1)</f>
        <v>45957</v>
      </c>
    </row>
    <row r="8" spans="1:35" ht="19.2" customHeight="1" x14ac:dyDescent="0.3">
      <c r="A8" s="24" t="s">
        <v>71</v>
      </c>
      <c r="B8" s="6" t="s">
        <v>72</v>
      </c>
      <c r="C8" s="7" t="s">
        <v>73</v>
      </c>
      <c r="D8" s="8" t="s">
        <v>74</v>
      </c>
      <c r="E8" s="8" t="s">
        <v>75</v>
      </c>
      <c r="F8" s="8"/>
      <c r="G8" s="9" t="s">
        <v>43</v>
      </c>
      <c r="H8" s="5">
        <v>45863</v>
      </c>
      <c r="I8" s="5"/>
      <c r="J8" s="5"/>
      <c r="K8" s="5">
        <v>45899</v>
      </c>
      <c r="L8" s="5">
        <v>45945</v>
      </c>
      <c r="M8" s="27"/>
      <c r="N8" s="29"/>
      <c r="O8" s="10" t="s">
        <v>44</v>
      </c>
      <c r="P8" s="30"/>
      <c r="Q8" s="30"/>
      <c r="R8" s="9"/>
      <c r="S8" s="9" t="s">
        <v>76</v>
      </c>
      <c r="T8" s="9" t="s">
        <v>77</v>
      </c>
      <c r="U8" s="27"/>
      <c r="V8" s="9" t="s">
        <v>48</v>
      </c>
      <c r="W8" s="27"/>
      <c r="X8" s="27"/>
      <c r="Y8" s="27"/>
      <c r="Z8" s="27"/>
      <c r="AA8" s="27"/>
      <c r="AB8" s="27"/>
      <c r="AC8" s="9" t="s">
        <v>49</v>
      </c>
      <c r="AD8" s="27" t="s">
        <v>50</v>
      </c>
      <c r="AE8" s="28">
        <v>115007761748</v>
      </c>
      <c r="AF8" s="27" t="s">
        <v>51</v>
      </c>
      <c r="AG8" s="27" t="s">
        <v>78</v>
      </c>
      <c r="AH8" s="41">
        <f>IF(ISBLANK(SessionTracker[[#This Row],[Preferred Mentor Selected On]]),"",SessionTracker[[#This Row],[Preferred Mentor Selected On]]-WEEKDAY(SessionTracker[[#This Row],[Preferred Mentor Selected On]],2)+1)</f>
        <v>45894</v>
      </c>
      <c r="AI8" s="40">
        <f>IF(ISBLANK(SessionTracker[[#This Row],[Meeting Date]]),"",SessionTracker[[#This Row],[Meeting Date]]-WEEKDAY(SessionTracker[[#This Row],[Meeting Date]],2)+1)</f>
        <v>45943</v>
      </c>
    </row>
    <row r="9" spans="1:35" ht="19.2" customHeight="1" x14ac:dyDescent="0.3">
      <c r="A9" s="24" t="s">
        <v>79</v>
      </c>
      <c r="B9" s="6" t="s">
        <v>80</v>
      </c>
      <c r="C9" s="7" t="s">
        <v>40</v>
      </c>
      <c r="D9" s="8" t="s">
        <v>41</v>
      </c>
      <c r="E9" s="8" t="s">
        <v>81</v>
      </c>
      <c r="F9" s="8"/>
      <c r="G9" s="9" t="s">
        <v>43</v>
      </c>
      <c r="H9" s="5">
        <v>45863</v>
      </c>
      <c r="I9" s="5"/>
      <c r="J9" s="5"/>
      <c r="K9" s="5">
        <v>45941</v>
      </c>
      <c r="L9" s="5">
        <v>45944</v>
      </c>
      <c r="M9" s="27"/>
      <c r="N9" s="29"/>
      <c r="O9" s="10" t="s">
        <v>44</v>
      </c>
      <c r="P9" s="30"/>
      <c r="Q9" s="30"/>
      <c r="R9" s="9"/>
      <c r="S9" s="9" t="s">
        <v>47</v>
      </c>
      <c r="T9" s="9" t="s">
        <v>47</v>
      </c>
      <c r="U9" s="27"/>
      <c r="V9" s="9" t="s">
        <v>48</v>
      </c>
      <c r="W9" s="27"/>
      <c r="X9" s="27"/>
      <c r="Y9" s="27"/>
      <c r="Z9" s="27"/>
      <c r="AA9" s="27"/>
      <c r="AB9" s="27"/>
      <c r="AC9" s="9" t="s">
        <v>49</v>
      </c>
      <c r="AD9" s="27" t="s">
        <v>50</v>
      </c>
      <c r="AE9" s="28">
        <v>115007336842</v>
      </c>
      <c r="AF9" s="27" t="s">
        <v>51</v>
      </c>
      <c r="AG9" s="27" t="s">
        <v>52</v>
      </c>
      <c r="AH9" s="41">
        <f>IF(ISBLANK(SessionTracker[[#This Row],[Preferred Mentor Selected On]]),"",SessionTracker[[#This Row],[Preferred Mentor Selected On]]-WEEKDAY(SessionTracker[[#This Row],[Preferred Mentor Selected On]],2)+1)</f>
        <v>45936</v>
      </c>
      <c r="AI9" s="40">
        <f>IF(ISBLANK(SessionTracker[[#This Row],[Meeting Date]]),"",SessionTracker[[#This Row],[Meeting Date]]-WEEKDAY(SessionTracker[[#This Row],[Meeting Date]],2)+1)</f>
        <v>45943</v>
      </c>
    </row>
    <row r="10" spans="1:35" ht="19.2" customHeight="1" x14ac:dyDescent="0.3">
      <c r="A10" s="24" t="s">
        <v>82</v>
      </c>
      <c r="B10" s="6" t="s">
        <v>83</v>
      </c>
      <c r="C10" s="7" t="s">
        <v>84</v>
      </c>
      <c r="D10" s="8" t="s">
        <v>41</v>
      </c>
      <c r="E10" s="8" t="s">
        <v>85</v>
      </c>
      <c r="F10" s="8"/>
      <c r="G10" s="9" t="s">
        <v>43</v>
      </c>
      <c r="H10" s="5">
        <v>45870</v>
      </c>
      <c r="I10" s="5"/>
      <c r="J10" s="5"/>
      <c r="K10" s="5">
        <v>45892</v>
      </c>
      <c r="L10" s="5">
        <v>46029</v>
      </c>
      <c r="M10" s="27"/>
      <c r="N10" s="29"/>
      <c r="O10" s="10" t="s">
        <v>44</v>
      </c>
      <c r="P10" s="30"/>
      <c r="Q10" s="35" t="s">
        <v>86</v>
      </c>
      <c r="R10" s="9" t="s">
        <v>87</v>
      </c>
      <c r="S10" s="9" t="s">
        <v>88</v>
      </c>
      <c r="T10" s="36" t="s">
        <v>89</v>
      </c>
      <c r="U10" s="27"/>
      <c r="V10" s="9" t="s">
        <v>48</v>
      </c>
      <c r="W10" s="27"/>
      <c r="X10" s="27"/>
      <c r="Y10" s="27"/>
      <c r="Z10" s="27"/>
      <c r="AA10" s="27"/>
      <c r="AB10" s="27"/>
      <c r="AC10" s="9" t="s">
        <v>60</v>
      </c>
      <c r="AD10" s="27" t="s">
        <v>90</v>
      </c>
      <c r="AE10" s="28">
        <v>115017277742</v>
      </c>
      <c r="AF10" s="27" t="s">
        <v>51</v>
      </c>
      <c r="AG10" s="27" t="s">
        <v>91</v>
      </c>
      <c r="AH10" s="41">
        <f>IF(ISBLANK(SessionTracker[[#This Row],[Preferred Mentor Selected On]]),"",SessionTracker[[#This Row],[Preferred Mentor Selected On]]-WEEKDAY(SessionTracker[[#This Row],[Preferred Mentor Selected On]],2)+1)</f>
        <v>45887</v>
      </c>
      <c r="AI10" s="40">
        <f>IF(ISBLANK(SessionTracker[[#This Row],[Meeting Date]]),"",SessionTracker[[#This Row],[Meeting Date]]-WEEKDAY(SessionTracker[[#This Row],[Meeting Date]],2)+1)</f>
        <v>46027</v>
      </c>
    </row>
    <row r="11" spans="1:35" ht="19.2" customHeight="1" x14ac:dyDescent="0.3">
      <c r="A11" s="24" t="s">
        <v>92</v>
      </c>
      <c r="B11" s="6" t="s">
        <v>83</v>
      </c>
      <c r="C11" s="7" t="s">
        <v>84</v>
      </c>
      <c r="D11" s="8" t="s">
        <v>41</v>
      </c>
      <c r="E11" s="8" t="s">
        <v>93</v>
      </c>
      <c r="F11" s="8"/>
      <c r="G11" s="9" t="s">
        <v>43</v>
      </c>
      <c r="H11" s="5">
        <v>45870</v>
      </c>
      <c r="I11" s="5"/>
      <c r="J11" s="5"/>
      <c r="K11" s="5">
        <v>45892</v>
      </c>
      <c r="L11" s="5">
        <v>45895</v>
      </c>
      <c r="M11" s="27"/>
      <c r="N11" s="29"/>
      <c r="O11" s="10" t="s">
        <v>44</v>
      </c>
      <c r="P11" s="30"/>
      <c r="Q11" s="30"/>
      <c r="R11" s="30"/>
      <c r="S11" s="30" t="s">
        <v>47</v>
      </c>
      <c r="T11" s="30" t="s">
        <v>47</v>
      </c>
      <c r="U11" s="27"/>
      <c r="V11" s="9" t="s">
        <v>48</v>
      </c>
      <c r="W11" s="27"/>
      <c r="X11" s="27"/>
      <c r="Y11" s="27"/>
      <c r="Z11" s="27"/>
      <c r="AA11" s="27"/>
      <c r="AB11" s="27"/>
      <c r="AC11" s="9" t="s">
        <v>49</v>
      </c>
      <c r="AD11" s="27" t="s">
        <v>50</v>
      </c>
      <c r="AE11" s="28">
        <v>115005468916</v>
      </c>
      <c r="AF11" s="27" t="s">
        <v>51</v>
      </c>
      <c r="AG11" s="27">
        <v>0</v>
      </c>
      <c r="AH11" s="41">
        <f>IF(ISBLANK(SessionTracker[[#This Row],[Preferred Mentor Selected On]]),"",SessionTracker[[#This Row],[Preferred Mentor Selected On]]-WEEKDAY(SessionTracker[[#This Row],[Preferred Mentor Selected On]],2)+1)</f>
        <v>45887</v>
      </c>
      <c r="AI11" s="40">
        <f>IF(ISBLANK(SessionTracker[[#This Row],[Meeting Date]]),"",SessionTracker[[#This Row],[Meeting Date]]-WEEKDAY(SessionTracker[[#This Row],[Meeting Date]],2)+1)</f>
        <v>45894</v>
      </c>
    </row>
    <row r="12" spans="1:35" ht="19.2" customHeight="1" x14ac:dyDescent="0.3">
      <c r="A12" s="24" t="s">
        <v>94</v>
      </c>
      <c r="B12" s="6" t="s">
        <v>83</v>
      </c>
      <c r="C12" s="7" t="s">
        <v>84</v>
      </c>
      <c r="D12" s="8" t="s">
        <v>41</v>
      </c>
      <c r="E12" s="8" t="s">
        <v>95</v>
      </c>
      <c r="F12" s="8"/>
      <c r="G12" s="9" t="s">
        <v>43</v>
      </c>
      <c r="H12" s="5">
        <v>45870</v>
      </c>
      <c r="I12" s="5"/>
      <c r="J12" s="5"/>
      <c r="K12" s="5">
        <v>45892</v>
      </c>
      <c r="L12" s="5">
        <v>45989</v>
      </c>
      <c r="M12" s="27"/>
      <c r="N12" s="29"/>
      <c r="O12" s="10" t="s">
        <v>44</v>
      </c>
      <c r="P12" s="30"/>
      <c r="Q12" s="30"/>
      <c r="R12" s="30"/>
      <c r="S12" s="30" t="s">
        <v>47</v>
      </c>
      <c r="T12" s="30" t="s">
        <v>47</v>
      </c>
      <c r="U12" s="27"/>
      <c r="V12" s="9" t="s">
        <v>48</v>
      </c>
      <c r="W12" s="27"/>
      <c r="X12" s="27"/>
      <c r="Y12" s="27"/>
      <c r="Z12" s="27"/>
      <c r="AA12" s="27"/>
      <c r="AB12" s="27"/>
      <c r="AC12" s="9" t="s">
        <v>60</v>
      </c>
      <c r="AD12" s="27" t="s">
        <v>50</v>
      </c>
      <c r="AE12" s="28">
        <v>115024937956</v>
      </c>
      <c r="AF12" s="27" t="s">
        <v>51</v>
      </c>
      <c r="AG12" s="27">
        <v>0</v>
      </c>
      <c r="AH12" s="41">
        <f>IF(ISBLANK(SessionTracker[[#This Row],[Preferred Mentor Selected On]]),"",SessionTracker[[#This Row],[Preferred Mentor Selected On]]-WEEKDAY(SessionTracker[[#This Row],[Preferred Mentor Selected On]],2)+1)</f>
        <v>45887</v>
      </c>
      <c r="AI12" s="40">
        <f>IF(ISBLANK(SessionTracker[[#This Row],[Meeting Date]]),"",SessionTracker[[#This Row],[Meeting Date]]-WEEKDAY(SessionTracker[[#This Row],[Meeting Date]],2)+1)</f>
        <v>45985</v>
      </c>
    </row>
    <row r="13" spans="1:35" ht="19.2" customHeight="1" x14ac:dyDescent="0.3">
      <c r="A13" s="24" t="s">
        <v>96</v>
      </c>
      <c r="B13" s="6" t="s">
        <v>97</v>
      </c>
      <c r="C13" s="7" t="s">
        <v>98</v>
      </c>
      <c r="D13" s="8" t="s">
        <v>74</v>
      </c>
      <c r="E13" s="8" t="s">
        <v>99</v>
      </c>
      <c r="F13" s="8"/>
      <c r="G13" s="9" t="s">
        <v>43</v>
      </c>
      <c r="H13" s="5">
        <v>45870</v>
      </c>
      <c r="I13" s="5"/>
      <c r="J13" s="5"/>
      <c r="K13" s="5">
        <v>45914</v>
      </c>
      <c r="L13" s="5">
        <v>45917</v>
      </c>
      <c r="M13" s="27"/>
      <c r="N13" s="29"/>
      <c r="O13" s="10" t="s">
        <v>44</v>
      </c>
      <c r="P13" s="30"/>
      <c r="Q13" s="30"/>
      <c r="R13" s="30"/>
      <c r="S13" s="30" t="s">
        <v>47</v>
      </c>
      <c r="T13" s="30" t="s">
        <v>47</v>
      </c>
      <c r="U13" s="27"/>
      <c r="V13" s="9" t="s">
        <v>48</v>
      </c>
      <c r="W13" s="27"/>
      <c r="X13" s="27"/>
      <c r="Y13" s="27"/>
      <c r="Z13" s="27"/>
      <c r="AA13" s="27"/>
      <c r="AB13" s="27"/>
      <c r="AC13" s="9" t="s">
        <v>49</v>
      </c>
      <c r="AD13" s="27" t="s">
        <v>50</v>
      </c>
      <c r="AE13" s="28">
        <v>115006758570</v>
      </c>
      <c r="AF13" s="27" t="s">
        <v>51</v>
      </c>
      <c r="AG13" s="27" t="s">
        <v>100</v>
      </c>
      <c r="AH13" s="41">
        <f>IF(ISBLANK(SessionTracker[[#This Row],[Preferred Mentor Selected On]]),"",SessionTracker[[#This Row],[Preferred Mentor Selected On]]-WEEKDAY(SessionTracker[[#This Row],[Preferred Mentor Selected On]],2)+1)</f>
        <v>45908</v>
      </c>
      <c r="AI13" s="40">
        <f>IF(ISBLANK(SessionTracker[[#This Row],[Meeting Date]]),"",SessionTracker[[#This Row],[Meeting Date]]-WEEKDAY(SessionTracker[[#This Row],[Meeting Date]],2)+1)</f>
        <v>45915</v>
      </c>
    </row>
    <row r="14" spans="1:35" ht="19.2" customHeight="1" x14ac:dyDescent="0.3">
      <c r="A14" s="24" t="s">
        <v>101</v>
      </c>
      <c r="B14" s="6" t="s">
        <v>102</v>
      </c>
      <c r="C14" s="7" t="s">
        <v>84</v>
      </c>
      <c r="D14" s="8" t="s">
        <v>41</v>
      </c>
      <c r="E14" s="8" t="s">
        <v>103</v>
      </c>
      <c r="F14" s="8"/>
      <c r="G14" s="9" t="s">
        <v>43</v>
      </c>
      <c r="H14" s="5">
        <v>45882</v>
      </c>
      <c r="I14" s="5">
        <v>45910</v>
      </c>
      <c r="J14" s="5">
        <v>45910</v>
      </c>
      <c r="K14" s="5">
        <v>45924</v>
      </c>
      <c r="L14" s="5">
        <v>46002</v>
      </c>
      <c r="M14" s="27"/>
      <c r="N14" s="29"/>
      <c r="O14" s="10" t="s">
        <v>44</v>
      </c>
      <c r="P14" s="30"/>
      <c r="Q14" s="30"/>
      <c r="R14" s="30"/>
      <c r="S14" s="30" t="s">
        <v>104</v>
      </c>
      <c r="T14" s="30" t="s">
        <v>105</v>
      </c>
      <c r="U14" s="27"/>
      <c r="V14" s="9" t="s">
        <v>48</v>
      </c>
      <c r="W14" s="27"/>
      <c r="X14" s="27"/>
      <c r="Y14" s="27"/>
      <c r="Z14" s="27"/>
      <c r="AA14" s="27"/>
      <c r="AB14" s="27"/>
      <c r="AC14" s="9" t="s">
        <v>49</v>
      </c>
      <c r="AD14" s="27" t="s">
        <v>50</v>
      </c>
      <c r="AE14" s="28">
        <v>115007047056</v>
      </c>
      <c r="AF14" s="27" t="s">
        <v>51</v>
      </c>
      <c r="AG14" s="27" t="s">
        <v>52</v>
      </c>
      <c r="AH14" s="41">
        <f>IF(ISBLANK(SessionTracker[[#This Row],[Preferred Mentor Selected On]]),"",SessionTracker[[#This Row],[Preferred Mentor Selected On]]-WEEKDAY(SessionTracker[[#This Row],[Preferred Mentor Selected On]],2)+1)</f>
        <v>45922</v>
      </c>
      <c r="AI14" s="40">
        <f>IF(ISBLANK(SessionTracker[[#This Row],[Meeting Date]]),"",SessionTracker[[#This Row],[Meeting Date]]-WEEKDAY(SessionTracker[[#This Row],[Meeting Date]],2)+1)</f>
        <v>45999</v>
      </c>
    </row>
    <row r="15" spans="1:35" ht="19.2" customHeight="1" x14ac:dyDescent="0.3">
      <c r="A15" s="24" t="s">
        <v>106</v>
      </c>
      <c r="B15" s="6" t="s">
        <v>107</v>
      </c>
      <c r="C15" s="7" t="s">
        <v>84</v>
      </c>
      <c r="D15" s="8" t="s">
        <v>41</v>
      </c>
      <c r="E15" s="8" t="s">
        <v>108</v>
      </c>
      <c r="F15" s="8"/>
      <c r="G15" s="9" t="s">
        <v>43</v>
      </c>
      <c r="H15" s="5">
        <v>45887</v>
      </c>
      <c r="I15" s="5">
        <v>45910</v>
      </c>
      <c r="J15" s="5">
        <v>45910</v>
      </c>
      <c r="K15" s="5">
        <v>45923</v>
      </c>
      <c r="L15" s="5">
        <v>45973</v>
      </c>
      <c r="M15" s="27"/>
      <c r="N15" s="29"/>
      <c r="O15" s="10" t="s">
        <v>44</v>
      </c>
      <c r="P15" s="30"/>
      <c r="Q15" s="30"/>
      <c r="R15" s="30"/>
      <c r="S15" s="30" t="s">
        <v>47</v>
      </c>
      <c r="T15" s="30" t="s">
        <v>47</v>
      </c>
      <c r="U15" s="27"/>
      <c r="V15" s="9" t="s">
        <v>48</v>
      </c>
      <c r="W15" s="27"/>
      <c r="X15" s="27"/>
      <c r="Y15" s="27"/>
      <c r="Z15" s="27"/>
      <c r="AA15" s="27"/>
      <c r="AB15" s="27"/>
      <c r="AC15" s="9" t="s">
        <v>49</v>
      </c>
      <c r="AD15" s="27" t="s">
        <v>90</v>
      </c>
      <c r="AE15" s="28">
        <v>115005979656</v>
      </c>
      <c r="AF15" s="27" t="s">
        <v>51</v>
      </c>
      <c r="AG15" s="27" t="s">
        <v>109</v>
      </c>
      <c r="AH15" s="41">
        <f>IF(ISBLANK(SessionTracker[[#This Row],[Preferred Mentor Selected On]]),"",SessionTracker[[#This Row],[Preferred Mentor Selected On]]-WEEKDAY(SessionTracker[[#This Row],[Preferred Mentor Selected On]],2)+1)</f>
        <v>45922</v>
      </c>
      <c r="AI15" s="40">
        <f>IF(ISBLANK(SessionTracker[[#This Row],[Meeting Date]]),"",SessionTracker[[#This Row],[Meeting Date]]-WEEKDAY(SessionTracker[[#This Row],[Meeting Date]],2)+1)</f>
        <v>45971</v>
      </c>
    </row>
    <row r="16" spans="1:35" ht="19.2" customHeight="1" x14ac:dyDescent="0.3">
      <c r="A16" s="24" t="s">
        <v>110</v>
      </c>
      <c r="B16" s="6" t="s">
        <v>107</v>
      </c>
      <c r="C16" s="7" t="s">
        <v>84</v>
      </c>
      <c r="D16" s="8" t="s">
        <v>41</v>
      </c>
      <c r="E16" s="8" t="s">
        <v>111</v>
      </c>
      <c r="F16" s="8"/>
      <c r="G16" s="9" t="s">
        <v>43</v>
      </c>
      <c r="H16" s="5">
        <v>45887</v>
      </c>
      <c r="I16" s="5">
        <v>45910</v>
      </c>
      <c r="J16" s="5">
        <v>45910</v>
      </c>
      <c r="K16" s="5">
        <v>45923</v>
      </c>
      <c r="L16" s="5">
        <v>46003</v>
      </c>
      <c r="M16" s="27"/>
      <c r="N16" s="29"/>
      <c r="O16" s="10" t="s">
        <v>44</v>
      </c>
      <c r="P16" s="30"/>
      <c r="Q16" s="30"/>
      <c r="R16" s="30"/>
      <c r="S16" s="30" t="s">
        <v>112</v>
      </c>
      <c r="T16" s="30" t="s">
        <v>113</v>
      </c>
      <c r="U16" s="27"/>
      <c r="V16" s="9" t="s">
        <v>48</v>
      </c>
      <c r="W16" s="27"/>
      <c r="X16" s="27"/>
      <c r="Y16" s="27"/>
      <c r="Z16" s="27"/>
      <c r="AA16" s="27"/>
      <c r="AB16" s="27"/>
      <c r="AC16" s="9" t="s">
        <v>49</v>
      </c>
      <c r="AD16" s="27" t="s">
        <v>50</v>
      </c>
      <c r="AE16" s="28">
        <v>115006163361</v>
      </c>
      <c r="AF16" s="27" t="s">
        <v>51</v>
      </c>
      <c r="AG16" s="27" t="s">
        <v>114</v>
      </c>
      <c r="AH16" s="41">
        <f>IF(ISBLANK(SessionTracker[[#This Row],[Preferred Mentor Selected On]]),"",SessionTracker[[#This Row],[Preferred Mentor Selected On]]-WEEKDAY(SessionTracker[[#This Row],[Preferred Mentor Selected On]],2)+1)</f>
        <v>45922</v>
      </c>
      <c r="AI16" s="40">
        <f>IF(ISBLANK(SessionTracker[[#This Row],[Meeting Date]]),"",SessionTracker[[#This Row],[Meeting Date]]-WEEKDAY(SessionTracker[[#This Row],[Meeting Date]],2)+1)</f>
        <v>45999</v>
      </c>
    </row>
    <row r="17" spans="1:35" ht="19.2" customHeight="1" x14ac:dyDescent="0.3">
      <c r="A17" s="24" t="s">
        <v>115</v>
      </c>
      <c r="B17" s="6" t="s">
        <v>116</v>
      </c>
      <c r="C17" s="7" t="s">
        <v>73</v>
      </c>
      <c r="D17" s="8" t="s">
        <v>74</v>
      </c>
      <c r="E17" s="8" t="s">
        <v>117</v>
      </c>
      <c r="F17" s="8"/>
      <c r="G17" s="9" t="s">
        <v>43</v>
      </c>
      <c r="H17" s="5">
        <v>45891</v>
      </c>
      <c r="I17" s="5"/>
      <c r="J17" s="5"/>
      <c r="K17" s="5">
        <v>45924</v>
      </c>
      <c r="L17" s="5">
        <v>46007</v>
      </c>
      <c r="M17" s="27"/>
      <c r="N17" s="29"/>
      <c r="O17" s="10" t="s">
        <v>44</v>
      </c>
      <c r="P17" s="30"/>
      <c r="Q17" s="30"/>
      <c r="R17" s="30"/>
      <c r="S17" s="30" t="s">
        <v>118</v>
      </c>
      <c r="T17" s="30" t="s">
        <v>119</v>
      </c>
      <c r="U17" s="27"/>
      <c r="V17" s="9" t="s">
        <v>48</v>
      </c>
      <c r="W17" s="27"/>
      <c r="X17" s="27"/>
      <c r="Y17" s="27"/>
      <c r="Z17" s="27"/>
      <c r="AA17" s="27"/>
      <c r="AB17" s="27"/>
      <c r="AC17" s="9" t="s">
        <v>49</v>
      </c>
      <c r="AD17" s="27" t="s">
        <v>90</v>
      </c>
      <c r="AE17" s="28">
        <v>115002845847</v>
      </c>
      <c r="AF17" s="27" t="s">
        <v>51</v>
      </c>
      <c r="AG17" s="27" t="s">
        <v>120</v>
      </c>
      <c r="AH17" s="41">
        <f>IF(ISBLANK(SessionTracker[[#This Row],[Preferred Mentor Selected On]]),"",SessionTracker[[#This Row],[Preferred Mentor Selected On]]-WEEKDAY(SessionTracker[[#This Row],[Preferred Mentor Selected On]],2)+1)</f>
        <v>45922</v>
      </c>
      <c r="AI17" s="40">
        <f>IF(ISBLANK(SessionTracker[[#This Row],[Meeting Date]]),"",SessionTracker[[#This Row],[Meeting Date]]-WEEKDAY(SessionTracker[[#This Row],[Meeting Date]],2)+1)</f>
        <v>46006</v>
      </c>
    </row>
    <row r="18" spans="1:35" ht="19.2" customHeight="1" x14ac:dyDescent="0.3">
      <c r="A18" s="24" t="s">
        <v>121</v>
      </c>
      <c r="B18" s="6" t="s">
        <v>116</v>
      </c>
      <c r="C18" s="7" t="s">
        <v>73</v>
      </c>
      <c r="D18" s="8" t="s">
        <v>74</v>
      </c>
      <c r="E18" s="8" t="s">
        <v>99</v>
      </c>
      <c r="F18" s="8"/>
      <c r="G18" s="9" t="s">
        <v>43</v>
      </c>
      <c r="H18" s="5">
        <v>45891</v>
      </c>
      <c r="I18" s="5"/>
      <c r="J18" s="5"/>
      <c r="K18" s="5">
        <v>45924</v>
      </c>
      <c r="L18" s="5">
        <v>46030</v>
      </c>
      <c r="M18" s="27"/>
      <c r="N18" s="29"/>
      <c r="O18" s="10" t="s">
        <v>44</v>
      </c>
      <c r="P18" s="30"/>
      <c r="Q18" s="30"/>
      <c r="R18" s="30"/>
      <c r="S18" s="30" t="s">
        <v>47</v>
      </c>
      <c r="T18" s="30" t="s">
        <v>47</v>
      </c>
      <c r="U18" s="27"/>
      <c r="V18" s="9" t="s">
        <v>48</v>
      </c>
      <c r="W18" s="27"/>
      <c r="X18" s="27"/>
      <c r="Y18" s="27"/>
      <c r="Z18" s="27"/>
      <c r="AA18" s="27"/>
      <c r="AB18" s="27"/>
      <c r="AC18" s="9" t="s">
        <v>60</v>
      </c>
      <c r="AD18" s="27" t="s">
        <v>90</v>
      </c>
      <c r="AE18" s="28">
        <v>115006614055</v>
      </c>
      <c r="AF18" s="27" t="s">
        <v>51</v>
      </c>
      <c r="AG18" s="27">
        <v>0</v>
      </c>
      <c r="AH18" s="41">
        <f>IF(ISBLANK(SessionTracker[[#This Row],[Preferred Mentor Selected On]]),"",SessionTracker[[#This Row],[Preferred Mentor Selected On]]-WEEKDAY(SessionTracker[[#This Row],[Preferred Mentor Selected On]],2)+1)</f>
        <v>45922</v>
      </c>
      <c r="AI18" s="40">
        <f>IF(ISBLANK(SessionTracker[[#This Row],[Meeting Date]]),"",SessionTracker[[#This Row],[Meeting Date]]-WEEKDAY(SessionTracker[[#This Row],[Meeting Date]],2)+1)</f>
        <v>46027</v>
      </c>
    </row>
    <row r="19" spans="1:35" ht="19.2" customHeight="1" x14ac:dyDescent="0.3">
      <c r="A19" s="24" t="s">
        <v>122</v>
      </c>
      <c r="B19" s="6" t="s">
        <v>116</v>
      </c>
      <c r="C19" s="7" t="s">
        <v>73</v>
      </c>
      <c r="D19" s="8" t="s">
        <v>74</v>
      </c>
      <c r="E19" s="8" t="s">
        <v>99</v>
      </c>
      <c r="F19" s="8"/>
      <c r="G19" s="9" t="s">
        <v>43</v>
      </c>
      <c r="H19" s="5">
        <v>45891</v>
      </c>
      <c r="I19" s="5"/>
      <c r="J19" s="5"/>
      <c r="K19" s="5">
        <v>45924</v>
      </c>
      <c r="L19" s="5">
        <v>45946</v>
      </c>
      <c r="M19" s="27"/>
      <c r="N19" s="29"/>
      <c r="O19" s="10" t="s">
        <v>44</v>
      </c>
      <c r="P19" s="30"/>
      <c r="Q19" s="30"/>
      <c r="R19" s="30"/>
      <c r="S19" s="30" t="s">
        <v>47</v>
      </c>
      <c r="T19" s="30" t="s">
        <v>47</v>
      </c>
      <c r="U19" s="27"/>
      <c r="V19" s="9" t="s">
        <v>48</v>
      </c>
      <c r="W19" s="27"/>
      <c r="X19" s="27"/>
      <c r="Y19" s="27"/>
      <c r="Z19" s="27"/>
      <c r="AA19" s="27"/>
      <c r="AB19" s="27"/>
      <c r="AC19" s="9" t="s">
        <v>49</v>
      </c>
      <c r="AD19" s="27" t="s">
        <v>90</v>
      </c>
      <c r="AE19" s="28">
        <v>115017009833</v>
      </c>
      <c r="AF19" s="27" t="s">
        <v>51</v>
      </c>
      <c r="AG19" s="27">
        <v>0</v>
      </c>
      <c r="AH19" s="41">
        <f>IF(ISBLANK(SessionTracker[[#This Row],[Preferred Mentor Selected On]]),"",SessionTracker[[#This Row],[Preferred Mentor Selected On]]-WEEKDAY(SessionTracker[[#This Row],[Preferred Mentor Selected On]],2)+1)</f>
        <v>45922</v>
      </c>
      <c r="AI19" s="40">
        <f>IF(ISBLANK(SessionTracker[[#This Row],[Meeting Date]]),"",SessionTracker[[#This Row],[Meeting Date]]-WEEKDAY(SessionTracker[[#This Row],[Meeting Date]],2)+1)</f>
        <v>45943</v>
      </c>
    </row>
    <row r="20" spans="1:35" ht="19.2" customHeight="1" x14ac:dyDescent="0.3">
      <c r="A20" s="24" t="s">
        <v>123</v>
      </c>
      <c r="B20" s="6" t="s">
        <v>124</v>
      </c>
      <c r="C20" s="7" t="s">
        <v>73</v>
      </c>
      <c r="D20" s="8" t="s">
        <v>41</v>
      </c>
      <c r="E20" s="8" t="s">
        <v>125</v>
      </c>
      <c r="F20" s="8"/>
      <c r="G20" s="9" t="s">
        <v>43</v>
      </c>
      <c r="H20" s="5">
        <v>45891</v>
      </c>
      <c r="I20" s="5">
        <v>45891</v>
      </c>
      <c r="J20" s="5">
        <v>45891</v>
      </c>
      <c r="K20" s="5">
        <v>45924</v>
      </c>
      <c r="L20" s="5">
        <v>45927</v>
      </c>
      <c r="M20" s="27"/>
      <c r="N20" s="29"/>
      <c r="O20" s="10" t="s">
        <v>44</v>
      </c>
      <c r="P20" s="30"/>
      <c r="Q20" s="30"/>
      <c r="R20" s="30"/>
      <c r="S20" s="30" t="s">
        <v>47</v>
      </c>
      <c r="T20" s="30" t="s">
        <v>47</v>
      </c>
      <c r="U20" s="27"/>
      <c r="V20" s="9" t="s">
        <v>48</v>
      </c>
      <c r="W20" s="27"/>
      <c r="X20" s="27"/>
      <c r="Y20" s="27"/>
      <c r="Z20" s="27"/>
      <c r="AA20" s="27"/>
      <c r="AB20" s="27"/>
      <c r="AC20" s="9" t="s">
        <v>49</v>
      </c>
      <c r="AD20" s="27" t="s">
        <v>50</v>
      </c>
      <c r="AE20" s="28">
        <v>115006724700</v>
      </c>
      <c r="AF20" s="27" t="s">
        <v>51</v>
      </c>
      <c r="AG20" s="27" t="s">
        <v>52</v>
      </c>
      <c r="AH20" s="41">
        <f>IF(ISBLANK(SessionTracker[[#This Row],[Preferred Mentor Selected On]]),"",SessionTracker[[#This Row],[Preferred Mentor Selected On]]-WEEKDAY(SessionTracker[[#This Row],[Preferred Mentor Selected On]],2)+1)</f>
        <v>45922</v>
      </c>
      <c r="AI20" s="40">
        <f>IF(ISBLANK(SessionTracker[[#This Row],[Meeting Date]]),"",SessionTracker[[#This Row],[Meeting Date]]-WEEKDAY(SessionTracker[[#This Row],[Meeting Date]],2)+1)</f>
        <v>45922</v>
      </c>
    </row>
    <row r="21" spans="1:35" ht="19.2" customHeight="1" x14ac:dyDescent="0.3">
      <c r="A21" s="24" t="s">
        <v>126</v>
      </c>
      <c r="B21" s="6" t="s">
        <v>127</v>
      </c>
      <c r="C21" s="7" t="s">
        <v>84</v>
      </c>
      <c r="D21" s="8" t="s">
        <v>74</v>
      </c>
      <c r="E21" s="8" t="s">
        <v>68</v>
      </c>
      <c r="F21" s="8" t="s">
        <v>128</v>
      </c>
      <c r="G21" s="9" t="s">
        <v>43</v>
      </c>
      <c r="H21" s="5">
        <v>45899</v>
      </c>
      <c r="I21" s="5"/>
      <c r="J21" s="5"/>
      <c r="K21" s="5">
        <v>45899</v>
      </c>
      <c r="L21" s="5">
        <v>46076</v>
      </c>
      <c r="M21" s="27"/>
      <c r="N21" s="29"/>
      <c r="O21" s="10" t="s">
        <v>44</v>
      </c>
      <c r="P21" s="30"/>
      <c r="Q21" s="35" t="s">
        <v>129</v>
      </c>
      <c r="R21" s="35" t="s">
        <v>130</v>
      </c>
      <c r="S21" s="35" t="s">
        <v>131</v>
      </c>
      <c r="T21" s="35" t="s">
        <v>132</v>
      </c>
      <c r="U21" s="27"/>
      <c r="V21" s="9" t="s">
        <v>48</v>
      </c>
      <c r="W21" s="27"/>
      <c r="X21" s="27"/>
      <c r="Y21" s="27"/>
      <c r="Z21" s="27"/>
      <c r="AA21" s="27"/>
      <c r="AB21" s="27"/>
      <c r="AC21" s="9" t="s">
        <v>49</v>
      </c>
      <c r="AD21" s="27" t="s">
        <v>90</v>
      </c>
      <c r="AE21" s="28">
        <v>115005944151</v>
      </c>
      <c r="AF21" s="27" t="s">
        <v>51</v>
      </c>
      <c r="AG21" s="27">
        <v>0</v>
      </c>
      <c r="AH21" s="41">
        <f>IF(ISBLANK(SessionTracker[[#This Row],[Preferred Mentor Selected On]]),"",SessionTracker[[#This Row],[Preferred Mentor Selected On]]-WEEKDAY(SessionTracker[[#This Row],[Preferred Mentor Selected On]],2)+1)</f>
        <v>45894</v>
      </c>
      <c r="AI21" s="40">
        <f>IF(ISBLANK(SessionTracker[[#This Row],[Meeting Date]]),"",SessionTracker[[#This Row],[Meeting Date]]-WEEKDAY(SessionTracker[[#This Row],[Meeting Date]],2)+1)</f>
        <v>46076</v>
      </c>
    </row>
    <row r="22" spans="1:35" ht="19.2" customHeight="1" x14ac:dyDescent="0.3">
      <c r="A22" s="24" t="s">
        <v>133</v>
      </c>
      <c r="B22" s="6" t="s">
        <v>127</v>
      </c>
      <c r="C22" s="7" t="s">
        <v>84</v>
      </c>
      <c r="D22" s="8" t="s">
        <v>74</v>
      </c>
      <c r="E22" s="8" t="s">
        <v>68</v>
      </c>
      <c r="F22" s="8"/>
      <c r="G22" s="9" t="s">
        <v>43</v>
      </c>
      <c r="H22" s="5">
        <v>45899</v>
      </c>
      <c r="I22" s="5"/>
      <c r="J22" s="5"/>
      <c r="K22" s="5">
        <v>45902</v>
      </c>
      <c r="L22" s="5">
        <v>45905</v>
      </c>
      <c r="M22" s="27"/>
      <c r="N22" s="29"/>
      <c r="O22" s="10" t="s">
        <v>44</v>
      </c>
      <c r="P22" s="30"/>
      <c r="Q22" s="30"/>
      <c r="R22" s="30"/>
      <c r="S22" s="30" t="s">
        <v>47</v>
      </c>
      <c r="T22" s="30" t="s">
        <v>47</v>
      </c>
      <c r="U22" s="27"/>
      <c r="V22" s="9" t="s">
        <v>48</v>
      </c>
      <c r="W22" s="27"/>
      <c r="X22" s="27"/>
      <c r="Y22" s="27"/>
      <c r="Z22" s="27"/>
      <c r="AA22" s="27"/>
      <c r="AB22" s="27"/>
      <c r="AC22" s="9" t="s">
        <v>49</v>
      </c>
      <c r="AD22" s="27" t="s">
        <v>50</v>
      </c>
      <c r="AE22" s="28">
        <v>115005944151</v>
      </c>
      <c r="AF22" s="27" t="s">
        <v>51</v>
      </c>
      <c r="AG22" s="27" t="s">
        <v>134</v>
      </c>
      <c r="AH22" s="41">
        <f>IF(ISBLANK(SessionTracker[[#This Row],[Preferred Mentor Selected On]]),"",SessionTracker[[#This Row],[Preferred Mentor Selected On]]-WEEKDAY(SessionTracker[[#This Row],[Preferred Mentor Selected On]],2)+1)</f>
        <v>45901</v>
      </c>
      <c r="AI22" s="40">
        <f>IF(ISBLANK(SessionTracker[[#This Row],[Meeting Date]]),"",SessionTracker[[#This Row],[Meeting Date]]-WEEKDAY(SessionTracker[[#This Row],[Meeting Date]],2)+1)</f>
        <v>45901</v>
      </c>
    </row>
    <row r="23" spans="1:35" ht="19.2" customHeight="1" x14ac:dyDescent="0.3">
      <c r="A23" s="24" t="s">
        <v>135</v>
      </c>
      <c r="B23" s="6" t="s">
        <v>136</v>
      </c>
      <c r="C23" s="7" t="s">
        <v>84</v>
      </c>
      <c r="D23" s="8" t="s">
        <v>41</v>
      </c>
      <c r="E23" s="8" t="s">
        <v>137</v>
      </c>
      <c r="F23" s="8"/>
      <c r="G23" s="9" t="s">
        <v>43</v>
      </c>
      <c r="H23" s="5">
        <v>45899</v>
      </c>
      <c r="I23" s="5">
        <v>45910</v>
      </c>
      <c r="J23" s="5">
        <v>45910</v>
      </c>
      <c r="K23" s="5">
        <v>45988</v>
      </c>
      <c r="L23" s="5">
        <v>45962</v>
      </c>
      <c r="M23" s="27"/>
      <c r="N23" s="29"/>
      <c r="O23" s="10" t="s">
        <v>44</v>
      </c>
      <c r="P23" s="30"/>
      <c r="Q23" s="30"/>
      <c r="R23" s="30"/>
      <c r="S23" s="30" t="s">
        <v>47</v>
      </c>
      <c r="T23" s="30" t="s">
        <v>47</v>
      </c>
      <c r="U23" s="27"/>
      <c r="V23" s="9" t="s">
        <v>48</v>
      </c>
      <c r="W23" s="27"/>
      <c r="X23" s="27"/>
      <c r="Y23" s="27"/>
      <c r="Z23" s="27"/>
      <c r="AA23" s="27"/>
      <c r="AB23" s="27"/>
      <c r="AC23" s="9" t="s">
        <v>60</v>
      </c>
      <c r="AD23" s="27" t="s">
        <v>50</v>
      </c>
      <c r="AE23" s="28">
        <v>115005992519</v>
      </c>
      <c r="AF23" s="27" t="s">
        <v>51</v>
      </c>
      <c r="AG23" s="27" t="s">
        <v>114</v>
      </c>
      <c r="AH23" s="41">
        <f>IF(ISBLANK(SessionTracker[[#This Row],[Preferred Mentor Selected On]]),"",SessionTracker[[#This Row],[Preferred Mentor Selected On]]-WEEKDAY(SessionTracker[[#This Row],[Preferred Mentor Selected On]],2)+1)</f>
        <v>45985</v>
      </c>
      <c r="AI23" s="40">
        <f>IF(ISBLANK(SessionTracker[[#This Row],[Meeting Date]]),"",SessionTracker[[#This Row],[Meeting Date]]-WEEKDAY(SessionTracker[[#This Row],[Meeting Date]],2)+1)</f>
        <v>45957</v>
      </c>
    </row>
    <row r="24" spans="1:35" ht="19.2" customHeight="1" x14ac:dyDescent="0.3">
      <c r="A24" s="24" t="s">
        <v>138</v>
      </c>
      <c r="B24" s="6" t="s">
        <v>139</v>
      </c>
      <c r="C24" s="7" t="s">
        <v>84</v>
      </c>
      <c r="D24" s="8" t="s">
        <v>41</v>
      </c>
      <c r="E24" s="8" t="s">
        <v>140</v>
      </c>
      <c r="F24" s="8"/>
      <c r="G24" s="9" t="s">
        <v>43</v>
      </c>
      <c r="H24" s="5">
        <v>45916</v>
      </c>
      <c r="I24" s="5">
        <v>45910</v>
      </c>
      <c r="J24" s="5">
        <v>45910</v>
      </c>
      <c r="K24" s="5">
        <v>45916</v>
      </c>
      <c r="L24" s="5">
        <v>46006</v>
      </c>
      <c r="M24" s="27"/>
      <c r="N24" s="29"/>
      <c r="O24" s="10" t="s">
        <v>44</v>
      </c>
      <c r="P24" s="30"/>
      <c r="Q24" s="30"/>
      <c r="R24" s="30"/>
      <c r="S24" s="30" t="s">
        <v>141</v>
      </c>
      <c r="T24" s="30" t="s">
        <v>142</v>
      </c>
      <c r="U24" s="27"/>
      <c r="V24" s="9" t="s">
        <v>48</v>
      </c>
      <c r="W24" s="27"/>
      <c r="X24" s="27"/>
      <c r="Y24" s="27"/>
      <c r="Z24" s="27"/>
      <c r="AA24" s="27"/>
      <c r="AB24" s="27"/>
      <c r="AC24" s="9" t="s">
        <v>49</v>
      </c>
      <c r="AD24" s="27" t="s">
        <v>90</v>
      </c>
      <c r="AE24" s="28">
        <v>115009560473</v>
      </c>
      <c r="AF24" s="27" t="s">
        <v>51</v>
      </c>
      <c r="AG24" s="27" t="s">
        <v>143</v>
      </c>
      <c r="AH24" s="41">
        <f>IF(ISBLANK(SessionTracker[[#This Row],[Preferred Mentor Selected On]]),"",SessionTracker[[#This Row],[Preferred Mentor Selected On]]-WEEKDAY(SessionTracker[[#This Row],[Preferred Mentor Selected On]],2)+1)</f>
        <v>45915</v>
      </c>
      <c r="AI24" s="40">
        <f>IF(ISBLANK(SessionTracker[[#This Row],[Meeting Date]]),"",SessionTracker[[#This Row],[Meeting Date]]-WEEKDAY(SessionTracker[[#This Row],[Meeting Date]],2)+1)</f>
        <v>46006</v>
      </c>
    </row>
    <row r="25" spans="1:35" ht="19.2" customHeight="1" x14ac:dyDescent="0.3">
      <c r="A25" s="24" t="s">
        <v>144</v>
      </c>
      <c r="B25" s="6" t="s">
        <v>145</v>
      </c>
      <c r="C25" s="7" t="s">
        <v>40</v>
      </c>
      <c r="D25" s="8" t="s">
        <v>74</v>
      </c>
      <c r="E25" s="8" t="s">
        <v>146</v>
      </c>
      <c r="F25" s="8"/>
      <c r="G25" s="9" t="s">
        <v>43</v>
      </c>
      <c r="H25" s="5">
        <v>45919</v>
      </c>
      <c r="I25" s="5"/>
      <c r="J25" s="5"/>
      <c r="K25" s="5">
        <v>45919</v>
      </c>
      <c r="L25" s="5">
        <v>45996</v>
      </c>
      <c r="M25" s="27"/>
      <c r="N25" s="29"/>
      <c r="O25" s="10" t="s">
        <v>44</v>
      </c>
      <c r="P25" s="30"/>
      <c r="Q25" s="30"/>
      <c r="R25" s="30"/>
      <c r="S25" s="30" t="s">
        <v>47</v>
      </c>
      <c r="T25" s="30" t="s">
        <v>47</v>
      </c>
      <c r="U25" s="27"/>
      <c r="V25" s="9" t="s">
        <v>48</v>
      </c>
      <c r="W25" s="27"/>
      <c r="X25" s="27"/>
      <c r="Y25" s="27"/>
      <c r="Z25" s="27"/>
      <c r="AA25" s="27"/>
      <c r="AB25" s="27"/>
      <c r="AC25" s="9" t="s">
        <v>49</v>
      </c>
      <c r="AD25" s="27" t="s">
        <v>50</v>
      </c>
      <c r="AE25" s="28">
        <v>115012660017</v>
      </c>
      <c r="AF25" s="27" t="s">
        <v>51</v>
      </c>
      <c r="AG25" s="27" t="s">
        <v>147</v>
      </c>
      <c r="AH25" s="41">
        <f>IF(ISBLANK(SessionTracker[[#This Row],[Preferred Mentor Selected On]]),"",SessionTracker[[#This Row],[Preferred Mentor Selected On]]-WEEKDAY(SessionTracker[[#This Row],[Preferred Mentor Selected On]],2)+1)</f>
        <v>45915</v>
      </c>
      <c r="AI25" s="40">
        <f>IF(ISBLANK(SessionTracker[[#This Row],[Meeting Date]]),"",SessionTracker[[#This Row],[Meeting Date]]-WEEKDAY(SessionTracker[[#This Row],[Meeting Date]],2)+1)</f>
        <v>45992</v>
      </c>
    </row>
    <row r="26" spans="1:35" ht="19.2" customHeight="1" x14ac:dyDescent="0.3">
      <c r="A26" s="24" t="s">
        <v>148</v>
      </c>
      <c r="B26" s="6" t="s">
        <v>149</v>
      </c>
      <c r="C26" s="7" t="s">
        <v>84</v>
      </c>
      <c r="D26" s="8" t="s">
        <v>41</v>
      </c>
      <c r="E26" s="8" t="s">
        <v>150</v>
      </c>
      <c r="F26" s="8" t="s">
        <v>151</v>
      </c>
      <c r="G26" s="9" t="s">
        <v>43</v>
      </c>
      <c r="H26" s="5">
        <v>45919</v>
      </c>
      <c r="I26" s="5">
        <v>45940</v>
      </c>
      <c r="J26" s="5">
        <v>45940</v>
      </c>
      <c r="K26" s="5">
        <v>46066</v>
      </c>
      <c r="L26" s="5">
        <v>46069</v>
      </c>
      <c r="M26" s="27"/>
      <c r="N26" s="29"/>
      <c r="O26" s="10" t="s">
        <v>44</v>
      </c>
      <c r="P26" s="30"/>
      <c r="Q26" s="31" t="s">
        <v>152</v>
      </c>
      <c r="R26" s="38" t="s">
        <v>153</v>
      </c>
      <c r="S26" s="30" t="s">
        <v>154</v>
      </c>
      <c r="T26" s="30" t="s">
        <v>155</v>
      </c>
      <c r="U26" s="27"/>
      <c r="V26" s="9" t="s">
        <v>48</v>
      </c>
      <c r="W26" s="27"/>
      <c r="X26" s="27"/>
      <c r="Y26" s="27"/>
      <c r="Z26" s="27"/>
      <c r="AA26" s="27"/>
      <c r="AB26" s="27"/>
      <c r="AC26" s="9" t="s">
        <v>49</v>
      </c>
      <c r="AD26" s="27" t="s">
        <v>50</v>
      </c>
      <c r="AE26" s="28">
        <v>0</v>
      </c>
      <c r="AF26" s="27" t="s">
        <v>156</v>
      </c>
      <c r="AG26" s="27" t="s">
        <v>157</v>
      </c>
      <c r="AH26" s="41">
        <f>IF(ISBLANK(SessionTracker[[#This Row],[Preferred Mentor Selected On]]),"",SessionTracker[[#This Row],[Preferred Mentor Selected On]]-WEEKDAY(SessionTracker[[#This Row],[Preferred Mentor Selected On]],2)+1)</f>
        <v>46062</v>
      </c>
      <c r="AI26" s="40">
        <f>IF(ISBLANK(SessionTracker[[#This Row],[Meeting Date]]),"",SessionTracker[[#This Row],[Meeting Date]]-WEEKDAY(SessionTracker[[#This Row],[Meeting Date]],2)+1)</f>
        <v>46069</v>
      </c>
    </row>
    <row r="27" spans="1:35" ht="19.2" customHeight="1" x14ac:dyDescent="0.3">
      <c r="A27" s="24" t="s">
        <v>158</v>
      </c>
      <c r="B27" s="6" t="s">
        <v>159</v>
      </c>
      <c r="C27" s="7" t="s">
        <v>84</v>
      </c>
      <c r="D27" s="8" t="s">
        <v>41</v>
      </c>
      <c r="E27" s="8" t="s">
        <v>160</v>
      </c>
      <c r="F27" s="8"/>
      <c r="G27" s="9" t="s">
        <v>43</v>
      </c>
      <c r="H27" s="5">
        <v>45919</v>
      </c>
      <c r="I27" s="5">
        <v>45940</v>
      </c>
      <c r="J27" s="5">
        <v>45940</v>
      </c>
      <c r="K27" s="5">
        <v>45961</v>
      </c>
      <c r="L27" s="5">
        <v>46010</v>
      </c>
      <c r="M27" s="27"/>
      <c r="N27" s="29"/>
      <c r="O27" s="10" t="s">
        <v>44</v>
      </c>
      <c r="P27" s="30"/>
      <c r="Q27" s="30"/>
      <c r="R27" s="30"/>
      <c r="S27" s="30" t="s">
        <v>161</v>
      </c>
      <c r="T27" s="30" t="s">
        <v>162</v>
      </c>
      <c r="U27" s="27"/>
      <c r="V27" s="9" t="s">
        <v>48</v>
      </c>
      <c r="W27" s="27"/>
      <c r="X27" s="27"/>
      <c r="Y27" s="27"/>
      <c r="Z27" s="27"/>
      <c r="AA27" s="27"/>
      <c r="AB27" s="27"/>
      <c r="AC27" s="9" t="s">
        <v>49</v>
      </c>
      <c r="AD27" s="27" t="s">
        <v>50</v>
      </c>
      <c r="AE27" s="28">
        <v>115034932805</v>
      </c>
      <c r="AF27" s="27" t="s">
        <v>51</v>
      </c>
      <c r="AG27" s="27">
        <v>0</v>
      </c>
      <c r="AH27" s="41">
        <f>IF(ISBLANK(SessionTracker[[#This Row],[Preferred Mentor Selected On]]),"",SessionTracker[[#This Row],[Preferred Mentor Selected On]]-WEEKDAY(SessionTracker[[#This Row],[Preferred Mentor Selected On]],2)+1)</f>
        <v>45957</v>
      </c>
      <c r="AI27" s="40">
        <f>IF(ISBLANK(SessionTracker[[#This Row],[Meeting Date]]),"",SessionTracker[[#This Row],[Meeting Date]]-WEEKDAY(SessionTracker[[#This Row],[Meeting Date]],2)+1)</f>
        <v>46006</v>
      </c>
    </row>
    <row r="28" spans="1:35" ht="19.2" customHeight="1" x14ac:dyDescent="0.3">
      <c r="A28" s="24" t="s">
        <v>163</v>
      </c>
      <c r="B28" s="6" t="s">
        <v>159</v>
      </c>
      <c r="C28" s="7" t="s">
        <v>84</v>
      </c>
      <c r="D28" s="8" t="s">
        <v>41</v>
      </c>
      <c r="E28" s="8" t="s">
        <v>164</v>
      </c>
      <c r="F28" s="8" t="s">
        <v>165</v>
      </c>
      <c r="G28" s="9" t="s">
        <v>43</v>
      </c>
      <c r="H28" s="5">
        <v>45919</v>
      </c>
      <c r="I28" s="5">
        <v>45940</v>
      </c>
      <c r="J28" s="5">
        <v>45940</v>
      </c>
      <c r="K28" s="5">
        <v>45961</v>
      </c>
      <c r="L28" s="5">
        <v>46041</v>
      </c>
      <c r="M28" s="27"/>
      <c r="N28" s="29"/>
      <c r="O28" s="10" t="s">
        <v>44</v>
      </c>
      <c r="P28" s="30"/>
      <c r="Q28" s="35" t="s">
        <v>166</v>
      </c>
      <c r="R28" s="35" t="s">
        <v>167</v>
      </c>
      <c r="S28" s="30" t="s">
        <v>168</v>
      </c>
      <c r="T28" s="35" t="s">
        <v>169</v>
      </c>
      <c r="U28" s="27"/>
      <c r="V28" s="9" t="s">
        <v>48</v>
      </c>
      <c r="W28" s="27"/>
      <c r="X28" s="27"/>
      <c r="Y28" s="27"/>
      <c r="Z28" s="27"/>
      <c r="AA28" s="27"/>
      <c r="AB28" s="27"/>
      <c r="AC28" s="9" t="s">
        <v>49</v>
      </c>
      <c r="AD28" s="27" t="s">
        <v>50</v>
      </c>
      <c r="AE28" s="28">
        <v>115025883593</v>
      </c>
      <c r="AF28" s="27" t="s">
        <v>51</v>
      </c>
      <c r="AG28" s="27" t="s">
        <v>170</v>
      </c>
      <c r="AH28" s="41">
        <f>IF(ISBLANK(SessionTracker[[#This Row],[Preferred Mentor Selected On]]),"",SessionTracker[[#This Row],[Preferred Mentor Selected On]]-WEEKDAY(SessionTracker[[#This Row],[Preferred Mentor Selected On]],2)+1)</f>
        <v>45957</v>
      </c>
      <c r="AI28" s="40">
        <f>IF(ISBLANK(SessionTracker[[#This Row],[Meeting Date]]),"",SessionTracker[[#This Row],[Meeting Date]]-WEEKDAY(SessionTracker[[#This Row],[Meeting Date]],2)+1)</f>
        <v>46041</v>
      </c>
    </row>
    <row r="29" spans="1:35" ht="19.2" customHeight="1" x14ac:dyDescent="0.3">
      <c r="A29" s="24" t="s">
        <v>171</v>
      </c>
      <c r="B29" s="6" t="s">
        <v>159</v>
      </c>
      <c r="C29" s="7" t="s">
        <v>84</v>
      </c>
      <c r="D29" s="8" t="s">
        <v>41</v>
      </c>
      <c r="E29" s="8" t="s">
        <v>93</v>
      </c>
      <c r="F29" s="8" t="s">
        <v>172</v>
      </c>
      <c r="G29" s="9" t="s">
        <v>43</v>
      </c>
      <c r="H29" s="5">
        <v>45919</v>
      </c>
      <c r="I29" s="5">
        <v>45940</v>
      </c>
      <c r="J29" s="5">
        <v>45940</v>
      </c>
      <c r="K29" s="5">
        <v>45961</v>
      </c>
      <c r="L29" s="5">
        <v>46057</v>
      </c>
      <c r="M29" s="27"/>
      <c r="N29" s="29"/>
      <c r="O29" s="10" t="s">
        <v>44</v>
      </c>
      <c r="P29" s="30"/>
      <c r="Q29" s="38" t="s">
        <v>173</v>
      </c>
      <c r="R29" s="38" t="s">
        <v>174</v>
      </c>
      <c r="S29" s="30" t="s">
        <v>175</v>
      </c>
      <c r="T29" s="35" t="s">
        <v>176</v>
      </c>
      <c r="U29" s="27"/>
      <c r="V29" s="9" t="s">
        <v>48</v>
      </c>
      <c r="W29" s="27"/>
      <c r="X29" s="27"/>
      <c r="Y29" s="27"/>
      <c r="Z29" s="27"/>
      <c r="AA29" s="27"/>
      <c r="AB29" s="27"/>
      <c r="AC29" s="9" t="s">
        <v>49</v>
      </c>
      <c r="AD29" s="27" t="s">
        <v>90</v>
      </c>
      <c r="AE29" s="28">
        <v>115010656706</v>
      </c>
      <c r="AF29" s="27" t="s">
        <v>51</v>
      </c>
      <c r="AG29" s="27" t="s">
        <v>177</v>
      </c>
      <c r="AH29" s="41">
        <f>IF(ISBLANK(SessionTracker[[#This Row],[Preferred Mentor Selected On]]),"",SessionTracker[[#This Row],[Preferred Mentor Selected On]]-WEEKDAY(SessionTracker[[#This Row],[Preferred Mentor Selected On]],2)+1)</f>
        <v>45957</v>
      </c>
      <c r="AI29" s="40">
        <f>IF(ISBLANK(SessionTracker[[#This Row],[Meeting Date]]),"",SessionTracker[[#This Row],[Meeting Date]]-WEEKDAY(SessionTracker[[#This Row],[Meeting Date]],2)+1)</f>
        <v>46055</v>
      </c>
    </row>
    <row r="30" spans="1:35" ht="19.2" customHeight="1" x14ac:dyDescent="0.3">
      <c r="A30" s="24" t="s">
        <v>178</v>
      </c>
      <c r="B30" s="6" t="s">
        <v>179</v>
      </c>
      <c r="C30" s="7" t="s">
        <v>73</v>
      </c>
      <c r="D30" s="8" t="s">
        <v>41</v>
      </c>
      <c r="E30" s="8" t="s">
        <v>68</v>
      </c>
      <c r="F30" s="8"/>
      <c r="G30" s="9" t="s">
        <v>43</v>
      </c>
      <c r="H30" s="5">
        <v>45924</v>
      </c>
      <c r="I30" s="5">
        <v>45939</v>
      </c>
      <c r="J30" s="5">
        <v>45939</v>
      </c>
      <c r="K30" s="5">
        <v>45942</v>
      </c>
      <c r="L30" s="5">
        <v>45945</v>
      </c>
      <c r="M30" s="27"/>
      <c r="N30" s="29"/>
      <c r="O30" s="10" t="s">
        <v>44</v>
      </c>
      <c r="P30" s="30"/>
      <c r="Q30" s="30"/>
      <c r="R30" s="30"/>
      <c r="S30" s="30" t="s">
        <v>47</v>
      </c>
      <c r="T30" s="30" t="s">
        <v>47</v>
      </c>
      <c r="U30" s="27"/>
      <c r="V30" s="9" t="s">
        <v>48</v>
      </c>
      <c r="W30" s="27"/>
      <c r="X30" s="27"/>
      <c r="Y30" s="27"/>
      <c r="Z30" s="27"/>
      <c r="AA30" s="27"/>
      <c r="AB30" s="27"/>
      <c r="AC30" s="9" t="s">
        <v>49</v>
      </c>
      <c r="AD30" s="27" t="s">
        <v>50</v>
      </c>
      <c r="AE30" s="28">
        <v>115006013586</v>
      </c>
      <c r="AF30" s="27" t="s">
        <v>51</v>
      </c>
      <c r="AG30" s="27" t="s">
        <v>180</v>
      </c>
      <c r="AH30" s="41">
        <f>IF(ISBLANK(SessionTracker[[#This Row],[Preferred Mentor Selected On]]),"",SessionTracker[[#This Row],[Preferred Mentor Selected On]]-WEEKDAY(SessionTracker[[#This Row],[Preferred Mentor Selected On]],2)+1)</f>
        <v>45936</v>
      </c>
      <c r="AI30" s="40">
        <f>IF(ISBLANK(SessionTracker[[#This Row],[Meeting Date]]),"",SessionTracker[[#This Row],[Meeting Date]]-WEEKDAY(SessionTracker[[#This Row],[Meeting Date]],2)+1)</f>
        <v>45943</v>
      </c>
    </row>
    <row r="31" spans="1:35" ht="19.2" customHeight="1" x14ac:dyDescent="0.3">
      <c r="A31" s="24" t="s">
        <v>181</v>
      </c>
      <c r="B31" s="6" t="s">
        <v>179</v>
      </c>
      <c r="C31" s="7" t="s">
        <v>73</v>
      </c>
      <c r="D31" s="8" t="s">
        <v>41</v>
      </c>
      <c r="E31" s="8" t="s">
        <v>140</v>
      </c>
      <c r="F31" s="8"/>
      <c r="G31" s="9" t="s">
        <v>43</v>
      </c>
      <c r="H31" s="5">
        <v>45924</v>
      </c>
      <c r="I31" s="5">
        <v>45939</v>
      </c>
      <c r="J31" s="5">
        <v>45939</v>
      </c>
      <c r="K31" s="5">
        <v>45942</v>
      </c>
      <c r="L31" s="5">
        <v>46014</v>
      </c>
      <c r="M31" s="27"/>
      <c r="N31" s="29"/>
      <c r="O31" s="10" t="s">
        <v>44</v>
      </c>
      <c r="P31" s="30"/>
      <c r="Q31" s="30"/>
      <c r="R31" s="30"/>
      <c r="S31" s="30" t="s">
        <v>182</v>
      </c>
      <c r="T31" s="30" t="s">
        <v>183</v>
      </c>
      <c r="U31" s="27"/>
      <c r="V31" s="9" t="s">
        <v>48</v>
      </c>
      <c r="W31" s="27"/>
      <c r="X31" s="27"/>
      <c r="Y31" s="27"/>
      <c r="Z31" s="27"/>
      <c r="AA31" s="27"/>
      <c r="AB31" s="27"/>
      <c r="AC31" s="9" t="s">
        <v>49</v>
      </c>
      <c r="AD31" s="27" t="s">
        <v>90</v>
      </c>
      <c r="AE31" s="28">
        <v>115012289070</v>
      </c>
      <c r="AF31" s="27" t="s">
        <v>51</v>
      </c>
      <c r="AG31" s="27" t="s">
        <v>184</v>
      </c>
      <c r="AH31" s="41">
        <f>IF(ISBLANK(SessionTracker[[#This Row],[Preferred Mentor Selected On]]),"",SessionTracker[[#This Row],[Preferred Mentor Selected On]]-WEEKDAY(SessionTracker[[#This Row],[Preferred Mentor Selected On]],2)+1)</f>
        <v>45936</v>
      </c>
      <c r="AI31" s="40">
        <f>IF(ISBLANK(SessionTracker[[#This Row],[Meeting Date]]),"",SessionTracker[[#This Row],[Meeting Date]]-WEEKDAY(SessionTracker[[#This Row],[Meeting Date]],2)+1)</f>
        <v>46013</v>
      </c>
    </row>
    <row r="32" spans="1:35" ht="19.2" customHeight="1" x14ac:dyDescent="0.3">
      <c r="A32" s="24" t="s">
        <v>185</v>
      </c>
      <c r="B32" s="6" t="s">
        <v>186</v>
      </c>
      <c r="C32" s="7" t="s">
        <v>73</v>
      </c>
      <c r="D32" s="8" t="s">
        <v>74</v>
      </c>
      <c r="E32" s="8" t="s">
        <v>99</v>
      </c>
      <c r="F32" s="7"/>
      <c r="G32" s="9" t="s">
        <v>43</v>
      </c>
      <c r="H32" s="5">
        <v>45924</v>
      </c>
      <c r="I32" s="5"/>
      <c r="J32" s="5"/>
      <c r="K32" s="5">
        <v>45924</v>
      </c>
      <c r="L32" s="5">
        <v>45948</v>
      </c>
      <c r="M32" s="27"/>
      <c r="N32" s="29"/>
      <c r="O32" s="10" t="s">
        <v>44</v>
      </c>
      <c r="P32" s="30"/>
      <c r="Q32" s="30"/>
      <c r="R32" s="30"/>
      <c r="S32" s="30" t="s">
        <v>47</v>
      </c>
      <c r="T32" s="30" t="s">
        <v>47</v>
      </c>
      <c r="U32" s="27"/>
      <c r="V32" s="9" t="s">
        <v>48</v>
      </c>
      <c r="W32" s="27"/>
      <c r="X32" s="27"/>
      <c r="Y32" s="27"/>
      <c r="Z32" s="27"/>
      <c r="AA32" s="27"/>
      <c r="AB32" s="27"/>
      <c r="AC32" s="9" t="s">
        <v>49</v>
      </c>
      <c r="AD32" s="27" t="s">
        <v>90</v>
      </c>
      <c r="AE32" s="28">
        <v>115006764647</v>
      </c>
      <c r="AF32" s="27" t="s">
        <v>51</v>
      </c>
      <c r="AG32" s="27" t="s">
        <v>187</v>
      </c>
      <c r="AH32" s="41">
        <f>IF(ISBLANK(SessionTracker[[#This Row],[Preferred Mentor Selected On]]),"",SessionTracker[[#This Row],[Preferred Mentor Selected On]]-WEEKDAY(SessionTracker[[#This Row],[Preferred Mentor Selected On]],2)+1)</f>
        <v>45922</v>
      </c>
      <c r="AI32" s="40">
        <f>IF(ISBLANK(SessionTracker[[#This Row],[Meeting Date]]),"",SessionTracker[[#This Row],[Meeting Date]]-WEEKDAY(SessionTracker[[#This Row],[Meeting Date]],2)+1)</f>
        <v>45943</v>
      </c>
    </row>
    <row r="33" spans="1:35" ht="19.2" customHeight="1" x14ac:dyDescent="0.3">
      <c r="A33" s="24" t="s">
        <v>188</v>
      </c>
      <c r="B33" s="6" t="s">
        <v>189</v>
      </c>
      <c r="C33" s="7" t="s">
        <v>73</v>
      </c>
      <c r="D33" s="8" t="s">
        <v>41</v>
      </c>
      <c r="E33" s="8" t="s">
        <v>190</v>
      </c>
      <c r="F33" s="7" t="s">
        <v>191</v>
      </c>
      <c r="G33" s="9" t="s">
        <v>43</v>
      </c>
      <c r="H33" s="5">
        <v>45924</v>
      </c>
      <c r="I33" s="5">
        <v>45939</v>
      </c>
      <c r="J33" s="5">
        <v>45939</v>
      </c>
      <c r="K33" s="5">
        <v>45971</v>
      </c>
      <c r="L33" s="5">
        <v>46049</v>
      </c>
      <c r="M33" s="27"/>
      <c r="N33" s="29"/>
      <c r="O33" s="10" t="s">
        <v>44</v>
      </c>
      <c r="P33" s="30"/>
      <c r="Q33" s="38" t="s">
        <v>192</v>
      </c>
      <c r="R33" s="37" t="s">
        <v>193</v>
      </c>
      <c r="S33" s="30" t="s">
        <v>194</v>
      </c>
      <c r="T33" s="35" t="s">
        <v>195</v>
      </c>
      <c r="U33" s="27"/>
      <c r="V33" s="9" t="s">
        <v>48</v>
      </c>
      <c r="W33" s="27"/>
      <c r="X33" s="27"/>
      <c r="Y33" s="27"/>
      <c r="Z33" s="27"/>
      <c r="AA33" s="27"/>
      <c r="AB33" s="27"/>
      <c r="AC33" s="9" t="s">
        <v>49</v>
      </c>
      <c r="AD33" s="27" t="s">
        <v>50</v>
      </c>
      <c r="AE33" s="28">
        <v>115029762864</v>
      </c>
      <c r="AF33" s="27" t="s">
        <v>51</v>
      </c>
      <c r="AG33" s="27">
        <v>0</v>
      </c>
      <c r="AH33" s="41">
        <f>IF(ISBLANK(SessionTracker[[#This Row],[Preferred Mentor Selected On]]),"",SessionTracker[[#This Row],[Preferred Mentor Selected On]]-WEEKDAY(SessionTracker[[#This Row],[Preferred Mentor Selected On]],2)+1)</f>
        <v>45971</v>
      </c>
      <c r="AI33" s="40">
        <f>IF(ISBLANK(SessionTracker[[#This Row],[Meeting Date]]),"",SessionTracker[[#This Row],[Meeting Date]]-WEEKDAY(SessionTracker[[#This Row],[Meeting Date]],2)+1)</f>
        <v>46048</v>
      </c>
    </row>
    <row r="34" spans="1:35" ht="19.2" customHeight="1" x14ac:dyDescent="0.3">
      <c r="A34" s="24" t="s">
        <v>196</v>
      </c>
      <c r="B34" s="6" t="s">
        <v>189</v>
      </c>
      <c r="C34" s="7" t="s">
        <v>73</v>
      </c>
      <c r="D34" s="8" t="s">
        <v>41</v>
      </c>
      <c r="E34" s="8" t="s">
        <v>197</v>
      </c>
      <c r="F34" s="7" t="s">
        <v>198</v>
      </c>
      <c r="G34" s="9" t="s">
        <v>43</v>
      </c>
      <c r="H34" s="5">
        <v>45924</v>
      </c>
      <c r="I34" s="5">
        <v>45939</v>
      </c>
      <c r="J34" s="5">
        <v>45939</v>
      </c>
      <c r="K34" s="5">
        <v>45971</v>
      </c>
      <c r="L34" s="5">
        <v>46044</v>
      </c>
      <c r="M34" s="27"/>
      <c r="N34" s="29"/>
      <c r="O34" s="10" t="s">
        <v>44</v>
      </c>
      <c r="P34" s="30"/>
      <c r="Q34" s="38" t="s">
        <v>192</v>
      </c>
      <c r="R34" s="38" t="s">
        <v>199</v>
      </c>
      <c r="S34" s="30" t="s">
        <v>200</v>
      </c>
      <c r="T34" s="35" t="s">
        <v>201</v>
      </c>
      <c r="U34" s="27"/>
      <c r="V34" s="9" t="s">
        <v>48</v>
      </c>
      <c r="W34" s="27"/>
      <c r="X34" s="27"/>
      <c r="Y34" s="27"/>
      <c r="Z34" s="27"/>
      <c r="AA34" s="27"/>
      <c r="AB34" s="27"/>
      <c r="AC34" s="9" t="s">
        <v>49</v>
      </c>
      <c r="AD34" s="27" t="s">
        <v>50</v>
      </c>
      <c r="AE34" s="28">
        <v>115025861257</v>
      </c>
      <c r="AF34" s="27" t="s">
        <v>51</v>
      </c>
      <c r="AG34" s="27" t="s">
        <v>202</v>
      </c>
      <c r="AH34" s="41">
        <f>IF(ISBLANK(SessionTracker[[#This Row],[Preferred Mentor Selected On]]),"",SessionTracker[[#This Row],[Preferred Mentor Selected On]]-WEEKDAY(SessionTracker[[#This Row],[Preferred Mentor Selected On]],2)+1)</f>
        <v>45971</v>
      </c>
      <c r="AI34" s="40">
        <f>IF(ISBLANK(SessionTracker[[#This Row],[Meeting Date]]),"",SessionTracker[[#This Row],[Meeting Date]]-WEEKDAY(SessionTracker[[#This Row],[Meeting Date]],2)+1)</f>
        <v>46041</v>
      </c>
    </row>
    <row r="35" spans="1:35" ht="19.2" customHeight="1" x14ac:dyDescent="0.3">
      <c r="A35" s="24" t="s">
        <v>203</v>
      </c>
      <c r="B35" s="6" t="s">
        <v>189</v>
      </c>
      <c r="C35" s="7" t="s">
        <v>73</v>
      </c>
      <c r="D35" s="8" t="s">
        <v>41</v>
      </c>
      <c r="E35" s="8" t="s">
        <v>204</v>
      </c>
      <c r="F35" s="7" t="s">
        <v>191</v>
      </c>
      <c r="G35" s="9" t="s">
        <v>43</v>
      </c>
      <c r="H35" s="5">
        <v>45924</v>
      </c>
      <c r="I35" s="5">
        <v>45939</v>
      </c>
      <c r="J35" s="5">
        <v>45939</v>
      </c>
      <c r="K35" s="5">
        <v>45971</v>
      </c>
      <c r="L35" s="5">
        <v>46052</v>
      </c>
      <c r="M35" s="27"/>
      <c r="N35" s="29"/>
      <c r="O35" s="10" t="s">
        <v>44</v>
      </c>
      <c r="P35" s="30"/>
      <c r="Q35" s="38" t="s">
        <v>205</v>
      </c>
      <c r="R35" s="35" t="s">
        <v>206</v>
      </c>
      <c r="S35" s="30" t="s">
        <v>207</v>
      </c>
      <c r="T35" s="35" t="s">
        <v>208</v>
      </c>
      <c r="U35" s="27"/>
      <c r="V35" s="9" t="s">
        <v>48</v>
      </c>
      <c r="W35" s="27"/>
      <c r="X35" s="27"/>
      <c r="Y35" s="27"/>
      <c r="Z35" s="27"/>
      <c r="AA35" s="27"/>
      <c r="AB35" s="27"/>
      <c r="AC35" s="9" t="s">
        <v>49</v>
      </c>
      <c r="AD35" s="27" t="s">
        <v>50</v>
      </c>
      <c r="AE35" s="28">
        <v>115056979250</v>
      </c>
      <c r="AF35" s="27" t="s">
        <v>51</v>
      </c>
      <c r="AG35" s="27" t="s">
        <v>209</v>
      </c>
      <c r="AH35" s="41">
        <f>IF(ISBLANK(SessionTracker[[#This Row],[Preferred Mentor Selected On]]),"",SessionTracker[[#This Row],[Preferred Mentor Selected On]]-WEEKDAY(SessionTracker[[#This Row],[Preferred Mentor Selected On]],2)+1)</f>
        <v>45971</v>
      </c>
      <c r="AI35" s="40">
        <f>IF(ISBLANK(SessionTracker[[#This Row],[Meeting Date]]),"",SessionTracker[[#This Row],[Meeting Date]]-WEEKDAY(SessionTracker[[#This Row],[Meeting Date]],2)+1)</f>
        <v>46048</v>
      </c>
    </row>
    <row r="36" spans="1:35" ht="19.2" customHeight="1" x14ac:dyDescent="0.3">
      <c r="A36" s="24" t="s">
        <v>210</v>
      </c>
      <c r="B36" s="6" t="s">
        <v>189</v>
      </c>
      <c r="C36" s="7" t="s">
        <v>73</v>
      </c>
      <c r="D36" s="8" t="s">
        <v>41</v>
      </c>
      <c r="E36" s="8" t="s">
        <v>75</v>
      </c>
      <c r="F36" s="7"/>
      <c r="G36" s="9" t="s">
        <v>43</v>
      </c>
      <c r="H36" s="5">
        <v>45924</v>
      </c>
      <c r="I36" s="5">
        <v>45939</v>
      </c>
      <c r="J36" s="5">
        <v>45939</v>
      </c>
      <c r="K36" s="5">
        <v>45971</v>
      </c>
      <c r="L36" s="5">
        <v>45976</v>
      </c>
      <c r="M36" s="27"/>
      <c r="N36" s="29"/>
      <c r="O36" s="10" t="s">
        <v>44</v>
      </c>
      <c r="P36" s="30"/>
      <c r="Q36" s="30"/>
      <c r="R36" s="30"/>
      <c r="S36" s="30" t="s">
        <v>47</v>
      </c>
      <c r="T36" s="30" t="s">
        <v>47</v>
      </c>
      <c r="U36" s="27"/>
      <c r="V36" s="9" t="s">
        <v>48</v>
      </c>
      <c r="W36" s="27"/>
      <c r="X36" s="27"/>
      <c r="Y36" s="27"/>
      <c r="Z36" s="27"/>
      <c r="AA36" s="27"/>
      <c r="AB36" s="27"/>
      <c r="AC36" s="9" t="s">
        <v>49</v>
      </c>
      <c r="AD36" s="27" t="s">
        <v>50</v>
      </c>
      <c r="AE36" s="28">
        <v>115006769848</v>
      </c>
      <c r="AF36" s="27" t="s">
        <v>51</v>
      </c>
      <c r="AG36" s="27" t="s">
        <v>211</v>
      </c>
      <c r="AH36" s="41">
        <f>IF(ISBLANK(SessionTracker[[#This Row],[Preferred Mentor Selected On]]),"",SessionTracker[[#This Row],[Preferred Mentor Selected On]]-WEEKDAY(SessionTracker[[#This Row],[Preferred Mentor Selected On]],2)+1)</f>
        <v>45971</v>
      </c>
      <c r="AI36" s="40">
        <f>IF(ISBLANK(SessionTracker[[#This Row],[Meeting Date]]),"",SessionTracker[[#This Row],[Meeting Date]]-WEEKDAY(SessionTracker[[#This Row],[Meeting Date]],2)+1)</f>
        <v>45971</v>
      </c>
    </row>
    <row r="37" spans="1:35" ht="19.2" customHeight="1" x14ac:dyDescent="0.3">
      <c r="A37" s="24" t="s">
        <v>212</v>
      </c>
      <c r="B37" s="6" t="s">
        <v>189</v>
      </c>
      <c r="C37" s="7" t="s">
        <v>73</v>
      </c>
      <c r="D37" s="8" t="s">
        <v>41</v>
      </c>
      <c r="E37" s="8" t="s">
        <v>68</v>
      </c>
      <c r="F37" s="7"/>
      <c r="G37" s="9" t="s">
        <v>43</v>
      </c>
      <c r="H37" s="5">
        <v>45924</v>
      </c>
      <c r="I37" s="5">
        <v>45939</v>
      </c>
      <c r="J37" s="5">
        <v>45939</v>
      </c>
      <c r="K37" s="5">
        <v>45971</v>
      </c>
      <c r="L37" s="5">
        <v>45974</v>
      </c>
      <c r="M37" s="27"/>
      <c r="N37" s="29"/>
      <c r="O37" s="10" t="s">
        <v>44</v>
      </c>
      <c r="P37" s="30"/>
      <c r="Q37" s="30"/>
      <c r="R37" s="30"/>
      <c r="S37" s="30" t="s">
        <v>47</v>
      </c>
      <c r="T37" s="30" t="s">
        <v>47</v>
      </c>
      <c r="U37" s="27"/>
      <c r="V37" s="9" t="s">
        <v>48</v>
      </c>
      <c r="W37" s="27"/>
      <c r="X37" s="27"/>
      <c r="Y37" s="27"/>
      <c r="Z37" s="27"/>
      <c r="AA37" s="27"/>
      <c r="AB37" s="27"/>
      <c r="AC37" s="9" t="s">
        <v>60</v>
      </c>
      <c r="AD37" s="27" t="s">
        <v>50</v>
      </c>
      <c r="AE37" s="28">
        <v>115006771773</v>
      </c>
      <c r="AF37" s="27" t="s">
        <v>51</v>
      </c>
      <c r="AG37" s="27" t="s">
        <v>211</v>
      </c>
      <c r="AH37" s="41">
        <f>IF(ISBLANK(SessionTracker[[#This Row],[Preferred Mentor Selected On]]),"",SessionTracker[[#This Row],[Preferred Mentor Selected On]]-WEEKDAY(SessionTracker[[#This Row],[Preferred Mentor Selected On]],2)+1)</f>
        <v>45971</v>
      </c>
      <c r="AI37" s="40">
        <f>IF(ISBLANK(SessionTracker[[#This Row],[Meeting Date]]),"",SessionTracker[[#This Row],[Meeting Date]]-WEEKDAY(SessionTracker[[#This Row],[Meeting Date]],2)+1)</f>
        <v>45971</v>
      </c>
    </row>
    <row r="38" spans="1:35" ht="19.2" customHeight="1" x14ac:dyDescent="0.3">
      <c r="A38" s="24" t="s">
        <v>213</v>
      </c>
      <c r="B38" s="6" t="s">
        <v>214</v>
      </c>
      <c r="C38" s="7" t="s">
        <v>84</v>
      </c>
      <c r="D38" s="8" t="s">
        <v>74</v>
      </c>
      <c r="E38" s="8" t="s">
        <v>215</v>
      </c>
      <c r="F38" s="7" t="s">
        <v>216</v>
      </c>
      <c r="G38" s="9" t="s">
        <v>43</v>
      </c>
      <c r="H38" s="5">
        <v>45925</v>
      </c>
      <c r="I38" s="5"/>
      <c r="J38" s="5"/>
      <c r="K38" s="5">
        <v>46021</v>
      </c>
      <c r="L38" s="5">
        <v>46024</v>
      </c>
      <c r="M38" s="27"/>
      <c r="N38" s="29"/>
      <c r="O38" s="10" t="s">
        <v>44</v>
      </c>
      <c r="P38" s="30"/>
      <c r="Q38" s="35" t="s">
        <v>206</v>
      </c>
      <c r="R38" s="35" t="s">
        <v>217</v>
      </c>
      <c r="S38" s="30" t="s">
        <v>218</v>
      </c>
      <c r="T38" s="35" t="s">
        <v>219</v>
      </c>
      <c r="U38" s="27"/>
      <c r="V38" s="9" t="s">
        <v>48</v>
      </c>
      <c r="W38" s="27"/>
      <c r="X38" s="27"/>
      <c r="Y38" s="27"/>
      <c r="Z38" s="27"/>
      <c r="AA38" s="27"/>
      <c r="AB38" s="27"/>
      <c r="AC38" s="9" t="s">
        <v>49</v>
      </c>
      <c r="AD38" s="27" t="s">
        <v>50</v>
      </c>
      <c r="AE38" s="28">
        <v>115015684851</v>
      </c>
      <c r="AF38" s="27" t="s">
        <v>51</v>
      </c>
      <c r="AG38" s="27" t="s">
        <v>220</v>
      </c>
      <c r="AH38" s="41">
        <f>IF(ISBLANK(SessionTracker[[#This Row],[Preferred Mentor Selected On]]),"",SessionTracker[[#This Row],[Preferred Mentor Selected On]]-WEEKDAY(SessionTracker[[#This Row],[Preferred Mentor Selected On]],2)+1)</f>
        <v>46020</v>
      </c>
      <c r="AI38" s="40">
        <f>IF(ISBLANK(SessionTracker[[#This Row],[Meeting Date]]),"",SessionTracker[[#This Row],[Meeting Date]]-WEEKDAY(SessionTracker[[#This Row],[Meeting Date]],2)+1)</f>
        <v>46020</v>
      </c>
    </row>
    <row r="39" spans="1:35" ht="19.2" customHeight="1" x14ac:dyDescent="0.3">
      <c r="A39" s="24" t="s">
        <v>221</v>
      </c>
      <c r="B39" s="6" t="s">
        <v>222</v>
      </c>
      <c r="C39" s="7" t="s">
        <v>40</v>
      </c>
      <c r="D39" s="8" t="s">
        <v>74</v>
      </c>
      <c r="E39" s="8" t="s">
        <v>68</v>
      </c>
      <c r="F39" s="7"/>
      <c r="G39" s="9" t="s">
        <v>43</v>
      </c>
      <c r="H39" s="5">
        <v>45925</v>
      </c>
      <c r="I39" s="5"/>
      <c r="J39" s="5"/>
      <c r="K39" s="5">
        <v>46002</v>
      </c>
      <c r="L39" s="5">
        <v>46003</v>
      </c>
      <c r="M39" s="27"/>
      <c r="N39" s="29"/>
      <c r="O39" s="10" t="s">
        <v>44</v>
      </c>
      <c r="P39" s="30"/>
      <c r="Q39" s="30"/>
      <c r="R39" s="30"/>
      <c r="S39" s="30" t="s">
        <v>223</v>
      </c>
      <c r="T39" s="30" t="s">
        <v>224</v>
      </c>
      <c r="U39" s="27"/>
      <c r="V39" s="9" t="s">
        <v>48</v>
      </c>
      <c r="W39" s="27"/>
      <c r="X39" s="27"/>
      <c r="Y39" s="27"/>
      <c r="Z39" s="27"/>
      <c r="AA39" s="27"/>
      <c r="AB39" s="27"/>
      <c r="AC39" s="9" t="s">
        <v>49</v>
      </c>
      <c r="AD39" s="27" t="s">
        <v>50</v>
      </c>
      <c r="AE39" s="28">
        <v>115007335452</v>
      </c>
      <c r="AF39" s="27" t="s">
        <v>51</v>
      </c>
      <c r="AG39" s="27" t="s">
        <v>225</v>
      </c>
      <c r="AH39" s="41">
        <f>IF(ISBLANK(SessionTracker[[#This Row],[Preferred Mentor Selected On]]),"",SessionTracker[[#This Row],[Preferred Mentor Selected On]]-WEEKDAY(SessionTracker[[#This Row],[Preferred Mentor Selected On]],2)+1)</f>
        <v>45999</v>
      </c>
      <c r="AI39" s="40">
        <f>IF(ISBLANK(SessionTracker[[#This Row],[Meeting Date]]),"",SessionTracker[[#This Row],[Meeting Date]]-WEEKDAY(SessionTracker[[#This Row],[Meeting Date]],2)+1)</f>
        <v>45999</v>
      </c>
    </row>
    <row r="40" spans="1:35" ht="19.2" customHeight="1" x14ac:dyDescent="0.3">
      <c r="A40" s="24" t="s">
        <v>226</v>
      </c>
      <c r="B40" s="6" t="s">
        <v>227</v>
      </c>
      <c r="C40" s="7" t="s">
        <v>73</v>
      </c>
      <c r="D40" s="8" t="s">
        <v>74</v>
      </c>
      <c r="E40" s="8" t="s">
        <v>99</v>
      </c>
      <c r="F40" s="7"/>
      <c r="G40" s="9" t="s">
        <v>43</v>
      </c>
      <c r="H40" s="5">
        <v>45925</v>
      </c>
      <c r="I40" s="5"/>
      <c r="J40" s="5"/>
      <c r="K40" s="5">
        <v>45944</v>
      </c>
      <c r="L40" s="5">
        <v>45962</v>
      </c>
      <c r="M40" s="27"/>
      <c r="N40" s="29"/>
      <c r="O40" s="10" t="s">
        <v>44</v>
      </c>
      <c r="P40" s="30"/>
      <c r="Q40" s="30"/>
      <c r="R40" s="30"/>
      <c r="S40" s="30" t="s">
        <v>47</v>
      </c>
      <c r="T40" s="30" t="s">
        <v>47</v>
      </c>
      <c r="U40" s="27"/>
      <c r="V40" s="9" t="s">
        <v>48</v>
      </c>
      <c r="W40" s="27"/>
      <c r="X40" s="27"/>
      <c r="Y40" s="27"/>
      <c r="Z40" s="27"/>
      <c r="AA40" s="27"/>
      <c r="AB40" s="27"/>
      <c r="AC40" s="9" t="s">
        <v>49</v>
      </c>
      <c r="AD40" s="27" t="s">
        <v>90</v>
      </c>
      <c r="AE40" s="28">
        <v>115006030516</v>
      </c>
      <c r="AF40" s="27" t="s">
        <v>51</v>
      </c>
      <c r="AG40" s="27" t="s">
        <v>228</v>
      </c>
      <c r="AH40" s="41">
        <f>IF(ISBLANK(SessionTracker[[#This Row],[Preferred Mentor Selected On]]),"",SessionTracker[[#This Row],[Preferred Mentor Selected On]]-WEEKDAY(SessionTracker[[#This Row],[Preferred Mentor Selected On]],2)+1)</f>
        <v>45943</v>
      </c>
      <c r="AI40" s="40">
        <f>IF(ISBLANK(SessionTracker[[#This Row],[Meeting Date]]),"",SessionTracker[[#This Row],[Meeting Date]]-WEEKDAY(SessionTracker[[#This Row],[Meeting Date]],2)+1)</f>
        <v>45957</v>
      </c>
    </row>
    <row r="41" spans="1:35" ht="19.2" customHeight="1" x14ac:dyDescent="0.3">
      <c r="A41" s="24" t="s">
        <v>229</v>
      </c>
      <c r="B41" s="6" t="s">
        <v>230</v>
      </c>
      <c r="C41" s="7" t="s">
        <v>73</v>
      </c>
      <c r="D41" s="8" t="s">
        <v>74</v>
      </c>
      <c r="E41" s="8" t="s">
        <v>117</v>
      </c>
      <c r="F41" s="7"/>
      <c r="G41" s="9" t="s">
        <v>43</v>
      </c>
      <c r="H41" s="5">
        <v>45932</v>
      </c>
      <c r="I41" s="5"/>
      <c r="J41" s="5"/>
      <c r="K41" s="5">
        <v>45959</v>
      </c>
      <c r="L41" s="5">
        <v>45979</v>
      </c>
      <c r="M41" s="27"/>
      <c r="N41" s="29"/>
      <c r="O41" s="10" t="s">
        <v>44</v>
      </c>
      <c r="P41" s="30"/>
      <c r="Q41" s="30"/>
      <c r="R41" s="30"/>
      <c r="S41" s="30" t="s">
        <v>47</v>
      </c>
      <c r="T41" s="30" t="s">
        <v>47</v>
      </c>
      <c r="U41" s="27"/>
      <c r="V41" s="9" t="s">
        <v>48</v>
      </c>
      <c r="W41" s="27"/>
      <c r="X41" s="27"/>
      <c r="Y41" s="27"/>
      <c r="Z41" s="27"/>
      <c r="AA41" s="27"/>
      <c r="AB41" s="27"/>
      <c r="AC41" s="9" t="s">
        <v>49</v>
      </c>
      <c r="AD41" s="27" t="s">
        <v>90</v>
      </c>
      <c r="AE41" s="28">
        <v>115029735861</v>
      </c>
      <c r="AF41" s="27" t="s">
        <v>51</v>
      </c>
      <c r="AG41" s="27" t="s">
        <v>231</v>
      </c>
      <c r="AH41" s="41">
        <f>IF(ISBLANK(SessionTracker[[#This Row],[Preferred Mentor Selected On]]),"",SessionTracker[[#This Row],[Preferred Mentor Selected On]]-WEEKDAY(SessionTracker[[#This Row],[Preferred Mentor Selected On]],2)+1)</f>
        <v>45957</v>
      </c>
      <c r="AI41" s="40">
        <f>IF(ISBLANK(SessionTracker[[#This Row],[Meeting Date]]),"",SessionTracker[[#This Row],[Meeting Date]]-WEEKDAY(SessionTracker[[#This Row],[Meeting Date]],2)+1)</f>
        <v>45978</v>
      </c>
    </row>
    <row r="42" spans="1:35" ht="19.2" customHeight="1" x14ac:dyDescent="0.3">
      <c r="A42" s="24" t="s">
        <v>232</v>
      </c>
      <c r="B42" s="6" t="s">
        <v>230</v>
      </c>
      <c r="C42" s="7" t="s">
        <v>73</v>
      </c>
      <c r="D42" s="8" t="s">
        <v>74</v>
      </c>
      <c r="E42" s="8" t="s">
        <v>75</v>
      </c>
      <c r="F42" s="7"/>
      <c r="G42" s="9" t="s">
        <v>43</v>
      </c>
      <c r="H42" s="5">
        <v>45932</v>
      </c>
      <c r="I42" s="5"/>
      <c r="J42" s="5"/>
      <c r="K42" s="5">
        <v>45959</v>
      </c>
      <c r="L42" s="23">
        <v>45962</v>
      </c>
      <c r="M42" s="27"/>
      <c r="N42" s="27"/>
      <c r="O42" s="10" t="s">
        <v>44</v>
      </c>
      <c r="P42" s="30"/>
      <c r="Q42" s="30"/>
      <c r="R42" s="30"/>
      <c r="S42" s="30" t="s">
        <v>47</v>
      </c>
      <c r="T42" s="30" t="s">
        <v>47</v>
      </c>
      <c r="U42" s="30"/>
      <c r="V42" s="9"/>
      <c r="W42" s="27"/>
      <c r="X42" s="27"/>
      <c r="Y42" s="27"/>
      <c r="Z42" s="27"/>
      <c r="AA42" s="27"/>
      <c r="AB42" s="27"/>
      <c r="AC42" s="9" t="s">
        <v>49</v>
      </c>
      <c r="AD42" s="27" t="s">
        <v>50</v>
      </c>
      <c r="AE42" s="28">
        <v>115029732350</v>
      </c>
      <c r="AF42" s="27" t="s">
        <v>51</v>
      </c>
      <c r="AG42" s="27" t="s">
        <v>233</v>
      </c>
      <c r="AH42" s="41">
        <f>IF(ISBLANK(SessionTracker[[#This Row],[Preferred Mentor Selected On]]),"",SessionTracker[[#This Row],[Preferred Mentor Selected On]]-WEEKDAY(SessionTracker[[#This Row],[Preferred Mentor Selected On]],2)+1)</f>
        <v>45957</v>
      </c>
      <c r="AI42" s="40">
        <f>IF(ISBLANK(SessionTracker[[#This Row],[Meeting Date]]),"",SessionTracker[[#This Row],[Meeting Date]]-WEEKDAY(SessionTracker[[#This Row],[Meeting Date]],2)+1)</f>
        <v>45957</v>
      </c>
    </row>
    <row r="43" spans="1:35" ht="19.2" customHeight="1" x14ac:dyDescent="0.3">
      <c r="A43" s="24" t="s">
        <v>234</v>
      </c>
      <c r="B43" s="6" t="s">
        <v>230</v>
      </c>
      <c r="C43" s="7" t="s">
        <v>73</v>
      </c>
      <c r="D43" s="8" t="s">
        <v>74</v>
      </c>
      <c r="E43" s="8" t="s">
        <v>190</v>
      </c>
      <c r="F43" s="8"/>
      <c r="G43" s="9" t="s">
        <v>43</v>
      </c>
      <c r="H43" s="5">
        <v>45932</v>
      </c>
      <c r="I43" s="5"/>
      <c r="J43" s="5"/>
      <c r="K43" s="5">
        <v>45959</v>
      </c>
      <c r="L43" s="23">
        <v>46009</v>
      </c>
      <c r="M43" s="27"/>
      <c r="N43" s="27"/>
      <c r="O43" s="10" t="s">
        <v>44</v>
      </c>
      <c r="P43" s="30"/>
      <c r="Q43" s="30"/>
      <c r="R43" s="30"/>
      <c r="S43" s="30" t="s">
        <v>235</v>
      </c>
      <c r="T43" s="30" t="s">
        <v>236</v>
      </c>
      <c r="U43" s="30"/>
      <c r="V43" s="9"/>
      <c r="W43" s="27"/>
      <c r="X43" s="27"/>
      <c r="Y43" s="27"/>
      <c r="Z43" s="27"/>
      <c r="AA43" s="27"/>
      <c r="AB43" s="27"/>
      <c r="AC43" s="9" t="s">
        <v>49</v>
      </c>
      <c r="AD43" s="27" t="s">
        <v>50</v>
      </c>
      <c r="AE43" s="28">
        <v>115010117943</v>
      </c>
      <c r="AF43" s="27" t="s">
        <v>51</v>
      </c>
      <c r="AG43" s="27" t="s">
        <v>237</v>
      </c>
      <c r="AH43" s="41">
        <f>IF(ISBLANK(SessionTracker[[#This Row],[Preferred Mentor Selected On]]),"",SessionTracker[[#This Row],[Preferred Mentor Selected On]]-WEEKDAY(SessionTracker[[#This Row],[Preferred Mentor Selected On]],2)+1)</f>
        <v>45957</v>
      </c>
      <c r="AI43" s="40">
        <f>IF(ISBLANK(SessionTracker[[#This Row],[Meeting Date]]),"",SessionTracker[[#This Row],[Meeting Date]]-WEEKDAY(SessionTracker[[#This Row],[Meeting Date]],2)+1)</f>
        <v>46006</v>
      </c>
    </row>
    <row r="44" spans="1:35" ht="19.2" customHeight="1" x14ac:dyDescent="0.3">
      <c r="A44" s="24" t="s">
        <v>238</v>
      </c>
      <c r="B44" s="6" t="s">
        <v>230</v>
      </c>
      <c r="C44" s="7" t="s">
        <v>73</v>
      </c>
      <c r="D44" s="8" t="s">
        <v>74</v>
      </c>
      <c r="E44" s="8" t="s">
        <v>197</v>
      </c>
      <c r="F44" s="8"/>
      <c r="G44" s="9" t="s">
        <v>43</v>
      </c>
      <c r="H44" s="5">
        <v>45932</v>
      </c>
      <c r="I44" s="5"/>
      <c r="J44" s="5"/>
      <c r="K44" s="5">
        <v>45959</v>
      </c>
      <c r="L44" s="23">
        <v>46009</v>
      </c>
      <c r="M44" s="27"/>
      <c r="N44" s="27"/>
      <c r="O44" s="10" t="s">
        <v>44</v>
      </c>
      <c r="P44" s="30"/>
      <c r="Q44" s="30"/>
      <c r="R44" s="30"/>
      <c r="S44" s="30" t="s">
        <v>239</v>
      </c>
      <c r="T44" s="30" t="s">
        <v>240</v>
      </c>
      <c r="U44" s="30"/>
      <c r="V44" s="9"/>
      <c r="W44" s="27"/>
      <c r="X44" s="27"/>
      <c r="Y44" s="27"/>
      <c r="Z44" s="27"/>
      <c r="AA44" s="27"/>
      <c r="AB44" s="27"/>
      <c r="AC44" s="9" t="s">
        <v>49</v>
      </c>
      <c r="AD44" s="27" t="s">
        <v>50</v>
      </c>
      <c r="AE44" s="28">
        <v>115010117925</v>
      </c>
      <c r="AF44" s="27" t="s">
        <v>51</v>
      </c>
      <c r="AG44" s="27" t="s">
        <v>237</v>
      </c>
      <c r="AH44" s="41">
        <f>IF(ISBLANK(SessionTracker[[#This Row],[Preferred Mentor Selected On]]),"",SessionTracker[[#This Row],[Preferred Mentor Selected On]]-WEEKDAY(SessionTracker[[#This Row],[Preferred Mentor Selected On]],2)+1)</f>
        <v>45957</v>
      </c>
      <c r="AI44" s="40">
        <f>IF(ISBLANK(SessionTracker[[#This Row],[Meeting Date]]),"",SessionTracker[[#This Row],[Meeting Date]]-WEEKDAY(SessionTracker[[#This Row],[Meeting Date]],2)+1)</f>
        <v>46006</v>
      </c>
    </row>
    <row r="45" spans="1:35" ht="19.2" customHeight="1" x14ac:dyDescent="0.3">
      <c r="A45" s="24" t="s">
        <v>241</v>
      </c>
      <c r="B45" s="6" t="s">
        <v>242</v>
      </c>
      <c r="C45" s="7" t="s">
        <v>73</v>
      </c>
      <c r="D45" s="8" t="s">
        <v>74</v>
      </c>
      <c r="E45" s="8" t="s">
        <v>243</v>
      </c>
      <c r="F45" s="8"/>
      <c r="G45" s="9" t="s">
        <v>43</v>
      </c>
      <c r="H45" s="5">
        <v>45936</v>
      </c>
      <c r="I45" s="5"/>
      <c r="J45" s="5"/>
      <c r="K45" s="5">
        <v>45971</v>
      </c>
      <c r="L45" s="23">
        <v>45974</v>
      </c>
      <c r="M45" s="27"/>
      <c r="N45" s="27"/>
      <c r="O45" s="10" t="s">
        <v>44</v>
      </c>
      <c r="P45" s="30"/>
      <c r="Q45" s="30"/>
      <c r="R45" s="30"/>
      <c r="S45" s="30" t="s">
        <v>47</v>
      </c>
      <c r="T45" s="30" t="s">
        <v>47</v>
      </c>
      <c r="U45" s="30"/>
      <c r="V45" s="9"/>
      <c r="W45" s="27"/>
      <c r="X45" s="27"/>
      <c r="Y45" s="27"/>
      <c r="Z45" s="27"/>
      <c r="AA45" s="27"/>
      <c r="AB45" s="27"/>
      <c r="AC45" s="9" t="s">
        <v>49</v>
      </c>
      <c r="AD45" s="27" t="s">
        <v>50</v>
      </c>
      <c r="AE45" s="28">
        <v>115006766979</v>
      </c>
      <c r="AF45" s="27" t="s">
        <v>51</v>
      </c>
      <c r="AG45" s="27" t="s">
        <v>52</v>
      </c>
      <c r="AH45" s="41">
        <f>IF(ISBLANK(SessionTracker[[#This Row],[Preferred Mentor Selected On]]),"",SessionTracker[[#This Row],[Preferred Mentor Selected On]]-WEEKDAY(SessionTracker[[#This Row],[Preferred Mentor Selected On]],2)+1)</f>
        <v>45971</v>
      </c>
      <c r="AI45" s="40">
        <f>IF(ISBLANK(SessionTracker[[#This Row],[Meeting Date]]),"",SessionTracker[[#This Row],[Meeting Date]]-WEEKDAY(SessionTracker[[#This Row],[Meeting Date]],2)+1)</f>
        <v>45971</v>
      </c>
    </row>
    <row r="46" spans="1:35" ht="19.2" customHeight="1" x14ac:dyDescent="0.3">
      <c r="A46" s="24" t="s">
        <v>244</v>
      </c>
      <c r="B46" s="6" t="s">
        <v>242</v>
      </c>
      <c r="C46" s="7" t="s">
        <v>73</v>
      </c>
      <c r="D46" s="8" t="s">
        <v>74</v>
      </c>
      <c r="E46" s="8" t="s">
        <v>245</v>
      </c>
      <c r="F46" s="8"/>
      <c r="G46" s="9" t="s">
        <v>43</v>
      </c>
      <c r="H46" s="5">
        <v>45936</v>
      </c>
      <c r="I46" s="5"/>
      <c r="J46" s="5"/>
      <c r="K46" s="5">
        <v>45971</v>
      </c>
      <c r="L46" s="23">
        <v>45974</v>
      </c>
      <c r="M46" s="27"/>
      <c r="N46" s="27"/>
      <c r="O46" s="10" t="s">
        <v>44</v>
      </c>
      <c r="P46" s="30"/>
      <c r="Q46" s="30"/>
      <c r="R46" s="30"/>
      <c r="S46" s="30" t="s">
        <v>47</v>
      </c>
      <c r="T46" s="30" t="s">
        <v>47</v>
      </c>
      <c r="U46" s="30"/>
      <c r="V46" s="9"/>
      <c r="W46" s="27"/>
      <c r="X46" s="27"/>
      <c r="Y46" s="27"/>
      <c r="Z46" s="27"/>
      <c r="AA46" s="27"/>
      <c r="AB46" s="27"/>
      <c r="AC46" s="9" t="s">
        <v>49</v>
      </c>
      <c r="AD46" s="27" t="s">
        <v>50</v>
      </c>
      <c r="AE46" s="28">
        <v>115006767952</v>
      </c>
      <c r="AF46" s="27" t="s">
        <v>51</v>
      </c>
      <c r="AG46" s="27" t="s">
        <v>52</v>
      </c>
      <c r="AH46" s="41">
        <f>IF(ISBLANK(SessionTracker[[#This Row],[Preferred Mentor Selected On]]),"",SessionTracker[[#This Row],[Preferred Mentor Selected On]]-WEEKDAY(SessionTracker[[#This Row],[Preferred Mentor Selected On]],2)+1)</f>
        <v>45971</v>
      </c>
      <c r="AI46" s="40">
        <f>IF(ISBLANK(SessionTracker[[#This Row],[Meeting Date]]),"",SessionTracker[[#This Row],[Meeting Date]]-WEEKDAY(SessionTracker[[#This Row],[Meeting Date]],2)+1)</f>
        <v>45971</v>
      </c>
    </row>
    <row r="47" spans="1:35" ht="19.2" customHeight="1" x14ac:dyDescent="0.3">
      <c r="A47" s="24" t="s">
        <v>246</v>
      </c>
      <c r="B47" s="6" t="s">
        <v>247</v>
      </c>
      <c r="C47" s="7" t="s">
        <v>40</v>
      </c>
      <c r="D47" s="8" t="s">
        <v>74</v>
      </c>
      <c r="E47" s="8" t="s">
        <v>248</v>
      </c>
      <c r="F47" s="8"/>
      <c r="G47" s="9" t="s">
        <v>43</v>
      </c>
      <c r="H47" s="5">
        <v>45939</v>
      </c>
      <c r="I47" s="5"/>
      <c r="J47" s="5"/>
      <c r="K47" s="5">
        <v>46002</v>
      </c>
      <c r="L47" s="23">
        <v>46008</v>
      </c>
      <c r="M47" s="27"/>
      <c r="N47" s="27"/>
      <c r="O47" s="10" t="s">
        <v>44</v>
      </c>
      <c r="P47" s="30"/>
      <c r="Q47" s="30"/>
      <c r="R47" s="30"/>
      <c r="S47" s="30" t="s">
        <v>249</v>
      </c>
      <c r="T47" s="30" t="s">
        <v>250</v>
      </c>
      <c r="U47" s="30"/>
      <c r="V47" s="9"/>
      <c r="W47" s="27"/>
      <c r="X47" s="27"/>
      <c r="Y47" s="27"/>
      <c r="Z47" s="27"/>
      <c r="AA47" s="27"/>
      <c r="AB47" s="27"/>
      <c r="AC47" s="9" t="s">
        <v>49</v>
      </c>
      <c r="AD47" s="27" t="s">
        <v>50</v>
      </c>
      <c r="AE47" s="28">
        <v>115010120828</v>
      </c>
      <c r="AF47" s="27" t="s">
        <v>51</v>
      </c>
      <c r="AG47" s="27" t="s">
        <v>251</v>
      </c>
      <c r="AH47" s="41">
        <f>IF(ISBLANK(SessionTracker[[#This Row],[Preferred Mentor Selected On]]),"",SessionTracker[[#This Row],[Preferred Mentor Selected On]]-WEEKDAY(SessionTracker[[#This Row],[Preferred Mentor Selected On]],2)+1)</f>
        <v>45999</v>
      </c>
      <c r="AI47" s="40">
        <f>IF(ISBLANK(SessionTracker[[#This Row],[Meeting Date]]),"",SessionTracker[[#This Row],[Meeting Date]]-WEEKDAY(SessionTracker[[#This Row],[Meeting Date]],2)+1)</f>
        <v>46006</v>
      </c>
    </row>
    <row r="48" spans="1:35" ht="19.2" customHeight="1" x14ac:dyDescent="0.3">
      <c r="A48" s="24" t="s">
        <v>252</v>
      </c>
      <c r="B48" s="6" t="s">
        <v>253</v>
      </c>
      <c r="C48" s="7" t="s">
        <v>254</v>
      </c>
      <c r="D48" s="8" t="s">
        <v>41</v>
      </c>
      <c r="E48" s="8" t="s">
        <v>255</v>
      </c>
      <c r="F48" s="8"/>
      <c r="G48" s="9" t="s">
        <v>43</v>
      </c>
      <c r="H48" s="5">
        <v>45943</v>
      </c>
      <c r="I48" s="5">
        <v>45925</v>
      </c>
      <c r="J48" s="5">
        <v>45925</v>
      </c>
      <c r="K48" s="5">
        <v>45943</v>
      </c>
      <c r="L48" s="23">
        <v>46014</v>
      </c>
      <c r="M48" s="27"/>
      <c r="N48" s="27"/>
      <c r="O48" s="10" t="s">
        <v>44</v>
      </c>
      <c r="P48" s="30"/>
      <c r="Q48" s="30"/>
      <c r="R48" s="30"/>
      <c r="S48" s="30" t="s">
        <v>256</v>
      </c>
      <c r="T48" s="30" t="s">
        <v>257</v>
      </c>
      <c r="U48" s="30"/>
      <c r="V48" s="9"/>
      <c r="W48" s="27"/>
      <c r="X48" s="27"/>
      <c r="Y48" s="27"/>
      <c r="Z48" s="27"/>
      <c r="AA48" s="27"/>
      <c r="AB48" s="27"/>
      <c r="AC48" s="9" t="s">
        <v>49</v>
      </c>
      <c r="AD48" s="27" t="s">
        <v>50</v>
      </c>
      <c r="AE48" s="28">
        <v>115011737997</v>
      </c>
      <c r="AF48" s="27" t="s">
        <v>51</v>
      </c>
      <c r="AG48" s="27">
        <v>0</v>
      </c>
      <c r="AH48" s="41">
        <f>IF(ISBLANK(SessionTracker[[#This Row],[Preferred Mentor Selected On]]),"",SessionTracker[[#This Row],[Preferred Mentor Selected On]]-WEEKDAY(SessionTracker[[#This Row],[Preferred Mentor Selected On]],2)+1)</f>
        <v>45943</v>
      </c>
      <c r="AI48" s="40">
        <f>IF(ISBLANK(SessionTracker[[#This Row],[Meeting Date]]),"",SessionTracker[[#This Row],[Meeting Date]]-WEEKDAY(SessionTracker[[#This Row],[Meeting Date]],2)+1)</f>
        <v>46013</v>
      </c>
    </row>
    <row r="49" spans="1:35" ht="19.2" customHeight="1" x14ac:dyDescent="0.3">
      <c r="A49" s="24" t="s">
        <v>258</v>
      </c>
      <c r="B49" s="6" t="s">
        <v>259</v>
      </c>
      <c r="C49" s="7" t="s">
        <v>73</v>
      </c>
      <c r="D49" s="8" t="s">
        <v>74</v>
      </c>
      <c r="E49" s="8" t="s">
        <v>68</v>
      </c>
      <c r="F49" s="8"/>
      <c r="G49" s="9" t="s">
        <v>43</v>
      </c>
      <c r="H49" s="5">
        <v>45944</v>
      </c>
      <c r="I49" s="5"/>
      <c r="J49" s="5"/>
      <c r="K49" s="5">
        <v>45972</v>
      </c>
      <c r="L49" s="23">
        <v>46044</v>
      </c>
      <c r="M49" s="27"/>
      <c r="N49" s="27"/>
      <c r="O49" s="10" t="s">
        <v>44</v>
      </c>
      <c r="P49" s="30"/>
      <c r="Q49" s="38" t="s">
        <v>260</v>
      </c>
      <c r="R49" s="30"/>
      <c r="S49" s="30" t="s">
        <v>261</v>
      </c>
      <c r="T49" s="35" t="s">
        <v>262</v>
      </c>
      <c r="U49" s="30"/>
      <c r="V49" s="9"/>
      <c r="W49" s="27"/>
      <c r="X49" s="27"/>
      <c r="Y49" s="27"/>
      <c r="Z49" s="27"/>
      <c r="AA49" s="27"/>
      <c r="AB49" s="27"/>
      <c r="AC49" s="9" t="s">
        <v>60</v>
      </c>
      <c r="AD49" s="27" t="s">
        <v>90</v>
      </c>
      <c r="AE49" s="28">
        <v>115029724214</v>
      </c>
      <c r="AF49" s="27" t="s">
        <v>51</v>
      </c>
      <c r="AG49" s="27" t="s">
        <v>263</v>
      </c>
      <c r="AH49" s="41">
        <f>IF(ISBLANK(SessionTracker[[#This Row],[Preferred Mentor Selected On]]),"",SessionTracker[[#This Row],[Preferred Mentor Selected On]]-WEEKDAY(SessionTracker[[#This Row],[Preferred Mentor Selected On]],2)+1)</f>
        <v>45971</v>
      </c>
      <c r="AI49" s="40">
        <f>IF(ISBLANK(SessionTracker[[#This Row],[Meeting Date]]),"",SessionTracker[[#This Row],[Meeting Date]]-WEEKDAY(SessionTracker[[#This Row],[Meeting Date]],2)+1)</f>
        <v>46041</v>
      </c>
    </row>
    <row r="50" spans="1:35" ht="19.2" customHeight="1" x14ac:dyDescent="0.3">
      <c r="A50" s="24" t="s">
        <v>264</v>
      </c>
      <c r="B50" s="6" t="s">
        <v>259</v>
      </c>
      <c r="C50" s="7" t="s">
        <v>73</v>
      </c>
      <c r="D50" s="8" t="s">
        <v>74</v>
      </c>
      <c r="E50" s="8" t="s">
        <v>68</v>
      </c>
      <c r="F50" s="8"/>
      <c r="G50" s="9" t="s">
        <v>43</v>
      </c>
      <c r="H50" s="5">
        <v>45944</v>
      </c>
      <c r="I50" s="5"/>
      <c r="J50" s="5"/>
      <c r="K50" s="5">
        <v>45972</v>
      </c>
      <c r="L50" s="23">
        <v>46057</v>
      </c>
      <c r="M50" s="27"/>
      <c r="N50" s="27"/>
      <c r="O50" s="10" t="s">
        <v>44</v>
      </c>
      <c r="P50" s="30"/>
      <c r="Q50" s="38" t="s">
        <v>265</v>
      </c>
      <c r="R50" s="30"/>
      <c r="S50" s="30" t="s">
        <v>266</v>
      </c>
      <c r="T50" s="35" t="s">
        <v>267</v>
      </c>
      <c r="U50" s="30"/>
      <c r="V50" s="9"/>
      <c r="W50" s="27"/>
      <c r="X50" s="27"/>
      <c r="Y50" s="27"/>
      <c r="Z50" s="27"/>
      <c r="AA50" s="27"/>
      <c r="AB50" s="27"/>
      <c r="AC50" s="9" t="s">
        <v>60</v>
      </c>
      <c r="AD50" s="27" t="s">
        <v>90</v>
      </c>
      <c r="AE50" s="28">
        <v>115042335711</v>
      </c>
      <c r="AF50" s="27" t="s">
        <v>51</v>
      </c>
      <c r="AG50" s="27" t="s">
        <v>268</v>
      </c>
      <c r="AH50" s="41">
        <f>IF(ISBLANK(SessionTracker[[#This Row],[Preferred Mentor Selected On]]),"",SessionTracker[[#This Row],[Preferred Mentor Selected On]]-WEEKDAY(SessionTracker[[#This Row],[Preferred Mentor Selected On]],2)+1)</f>
        <v>45971</v>
      </c>
      <c r="AI50" s="40">
        <f>IF(ISBLANK(SessionTracker[[#This Row],[Meeting Date]]),"",SessionTracker[[#This Row],[Meeting Date]]-WEEKDAY(SessionTracker[[#This Row],[Meeting Date]],2)+1)</f>
        <v>46055</v>
      </c>
    </row>
    <row r="51" spans="1:35" ht="19.2" customHeight="1" x14ac:dyDescent="0.3">
      <c r="A51" s="24" t="s">
        <v>269</v>
      </c>
      <c r="B51" s="6" t="s">
        <v>259</v>
      </c>
      <c r="C51" s="7" t="s">
        <v>73</v>
      </c>
      <c r="D51" s="8" t="s">
        <v>74</v>
      </c>
      <c r="E51" s="8" t="s">
        <v>117</v>
      </c>
      <c r="F51" s="8"/>
      <c r="G51" s="9" t="s">
        <v>43</v>
      </c>
      <c r="H51" s="5">
        <v>45944</v>
      </c>
      <c r="I51" s="5"/>
      <c r="J51" s="5"/>
      <c r="K51" s="5">
        <v>45972</v>
      </c>
      <c r="L51" s="23">
        <v>45975</v>
      </c>
      <c r="M51" s="27"/>
      <c r="N51" s="27"/>
      <c r="O51" s="10" t="s">
        <v>44</v>
      </c>
      <c r="P51" s="30"/>
      <c r="Q51" s="30"/>
      <c r="R51" s="30"/>
      <c r="S51" s="30" t="s">
        <v>47</v>
      </c>
      <c r="T51" s="30" t="s">
        <v>47</v>
      </c>
      <c r="U51" s="30"/>
      <c r="V51" s="9"/>
      <c r="W51" s="27"/>
      <c r="X51" s="27"/>
      <c r="Y51" s="27"/>
      <c r="Z51" s="27"/>
      <c r="AA51" s="27"/>
      <c r="AB51" s="27"/>
      <c r="AC51" s="9" t="s">
        <v>60</v>
      </c>
      <c r="AD51" s="27" t="s">
        <v>90</v>
      </c>
      <c r="AE51" s="28">
        <v>115006665803</v>
      </c>
      <c r="AF51" s="27" t="s">
        <v>51</v>
      </c>
      <c r="AG51" s="27" t="s">
        <v>270</v>
      </c>
      <c r="AH51" s="41">
        <f>IF(ISBLANK(SessionTracker[[#This Row],[Preferred Mentor Selected On]]),"",SessionTracker[[#This Row],[Preferred Mentor Selected On]]-WEEKDAY(SessionTracker[[#This Row],[Preferred Mentor Selected On]],2)+1)</f>
        <v>45971</v>
      </c>
      <c r="AI51" s="40">
        <f>IF(ISBLANK(SessionTracker[[#This Row],[Meeting Date]]),"",SessionTracker[[#This Row],[Meeting Date]]-WEEKDAY(SessionTracker[[#This Row],[Meeting Date]],2)+1)</f>
        <v>45971</v>
      </c>
    </row>
    <row r="52" spans="1:35" ht="19.2" customHeight="1" x14ac:dyDescent="0.3">
      <c r="A52" s="24" t="s">
        <v>271</v>
      </c>
      <c r="B52" s="6" t="s">
        <v>259</v>
      </c>
      <c r="C52" s="7" t="s">
        <v>73</v>
      </c>
      <c r="D52" s="8" t="s">
        <v>74</v>
      </c>
      <c r="E52" s="8" t="s">
        <v>117</v>
      </c>
      <c r="F52" s="8"/>
      <c r="G52" s="9" t="s">
        <v>43</v>
      </c>
      <c r="H52" s="5">
        <v>45944</v>
      </c>
      <c r="I52" s="5"/>
      <c r="J52" s="5"/>
      <c r="K52" s="5">
        <v>45972</v>
      </c>
      <c r="L52" s="23">
        <v>45989</v>
      </c>
      <c r="M52" s="27"/>
      <c r="N52" s="27"/>
      <c r="O52" s="10" t="s">
        <v>44</v>
      </c>
      <c r="P52" s="30"/>
      <c r="Q52" s="30"/>
      <c r="R52" s="30"/>
      <c r="S52" s="30" t="s">
        <v>47</v>
      </c>
      <c r="T52" s="30" t="s">
        <v>47</v>
      </c>
      <c r="U52" s="30"/>
      <c r="V52" s="9"/>
      <c r="W52" s="27"/>
      <c r="X52" s="27"/>
      <c r="Y52" s="27"/>
      <c r="Z52" s="27"/>
      <c r="AA52" s="27"/>
      <c r="AB52" s="27"/>
      <c r="AC52" s="9" t="s">
        <v>60</v>
      </c>
      <c r="AD52" s="27" t="s">
        <v>90</v>
      </c>
      <c r="AE52" s="28">
        <v>115006665803</v>
      </c>
      <c r="AF52" s="27" t="s">
        <v>51</v>
      </c>
      <c r="AG52" s="27" t="s">
        <v>272</v>
      </c>
      <c r="AH52" s="41">
        <f>IF(ISBLANK(SessionTracker[[#This Row],[Preferred Mentor Selected On]]),"",SessionTracker[[#This Row],[Preferred Mentor Selected On]]-WEEKDAY(SessionTracker[[#This Row],[Preferred Mentor Selected On]],2)+1)</f>
        <v>45971</v>
      </c>
      <c r="AI52" s="40">
        <f>IF(ISBLANK(SessionTracker[[#This Row],[Meeting Date]]),"",SessionTracker[[#This Row],[Meeting Date]]-WEEKDAY(SessionTracker[[#This Row],[Meeting Date]],2)+1)</f>
        <v>45985</v>
      </c>
    </row>
    <row r="53" spans="1:35" ht="19.2" customHeight="1" x14ac:dyDescent="0.3">
      <c r="A53" s="24" t="s">
        <v>273</v>
      </c>
      <c r="B53" s="6" t="s">
        <v>274</v>
      </c>
      <c r="C53" s="7" t="s">
        <v>73</v>
      </c>
      <c r="D53" s="8" t="s">
        <v>74</v>
      </c>
      <c r="E53" s="8" t="s">
        <v>68</v>
      </c>
      <c r="F53" s="7"/>
      <c r="G53" s="9" t="s">
        <v>43</v>
      </c>
      <c r="H53" s="5">
        <v>45944</v>
      </c>
      <c r="I53" s="5"/>
      <c r="J53" s="5"/>
      <c r="K53" s="5">
        <v>45972</v>
      </c>
      <c r="L53" s="23">
        <v>45975</v>
      </c>
      <c r="M53" s="27"/>
      <c r="N53" s="27"/>
      <c r="O53" s="10" t="s">
        <v>44</v>
      </c>
      <c r="P53" s="30"/>
      <c r="Q53" s="30"/>
      <c r="R53" s="30"/>
      <c r="S53" s="30" t="s">
        <v>47</v>
      </c>
      <c r="T53" s="30" t="s">
        <v>47</v>
      </c>
      <c r="U53" s="30"/>
      <c r="V53" s="9"/>
      <c r="W53" s="27"/>
      <c r="X53" s="27"/>
      <c r="Y53" s="27"/>
      <c r="Z53" s="27"/>
      <c r="AA53" s="27"/>
      <c r="AB53" s="27"/>
      <c r="AC53" s="9" t="s">
        <v>49</v>
      </c>
      <c r="AD53" s="27" t="s">
        <v>90</v>
      </c>
      <c r="AE53" s="28">
        <v>115034142437</v>
      </c>
      <c r="AF53" s="27" t="s">
        <v>51</v>
      </c>
      <c r="AG53" s="27" t="s">
        <v>275</v>
      </c>
      <c r="AH53" s="41">
        <f>IF(ISBLANK(SessionTracker[[#This Row],[Preferred Mentor Selected On]]),"",SessionTracker[[#This Row],[Preferred Mentor Selected On]]-WEEKDAY(SessionTracker[[#This Row],[Preferred Mentor Selected On]],2)+1)</f>
        <v>45971</v>
      </c>
      <c r="AI53" s="40">
        <f>IF(ISBLANK(SessionTracker[[#This Row],[Meeting Date]]),"",SessionTracker[[#This Row],[Meeting Date]]-WEEKDAY(SessionTracker[[#This Row],[Meeting Date]],2)+1)</f>
        <v>45971</v>
      </c>
    </row>
    <row r="54" spans="1:35" ht="19.2" customHeight="1" x14ac:dyDescent="0.3">
      <c r="A54" s="24" t="s">
        <v>276</v>
      </c>
      <c r="B54" s="6" t="s">
        <v>277</v>
      </c>
      <c r="C54" s="7" t="s">
        <v>73</v>
      </c>
      <c r="D54" s="8" t="s">
        <v>41</v>
      </c>
      <c r="E54" s="8" t="s">
        <v>117</v>
      </c>
      <c r="F54" s="7"/>
      <c r="G54" s="9" t="s">
        <v>43</v>
      </c>
      <c r="H54" s="5">
        <v>45944</v>
      </c>
      <c r="I54" s="5">
        <v>45980</v>
      </c>
      <c r="J54" s="5">
        <v>45980</v>
      </c>
      <c r="K54" s="5">
        <v>45973</v>
      </c>
      <c r="L54" s="23">
        <v>45976</v>
      </c>
      <c r="M54" s="27"/>
      <c r="N54" s="27"/>
      <c r="O54" s="10" t="s">
        <v>44</v>
      </c>
      <c r="P54" s="30"/>
      <c r="Q54" s="30"/>
      <c r="R54" s="30"/>
      <c r="S54" s="30" t="s">
        <v>47</v>
      </c>
      <c r="T54" s="30" t="s">
        <v>47</v>
      </c>
      <c r="U54" s="30"/>
      <c r="V54" s="9"/>
      <c r="W54" s="27"/>
      <c r="X54" s="27"/>
      <c r="Y54" s="27"/>
      <c r="Z54" s="27"/>
      <c r="AA54" s="27"/>
      <c r="AB54" s="27"/>
      <c r="AC54" s="9" t="s">
        <v>60</v>
      </c>
      <c r="AD54" s="27" t="s">
        <v>90</v>
      </c>
      <c r="AE54" s="28">
        <v>115006165834</v>
      </c>
      <c r="AF54" s="27" t="s">
        <v>51</v>
      </c>
      <c r="AG54" s="27" t="s">
        <v>278</v>
      </c>
      <c r="AH54" s="41">
        <f>IF(ISBLANK(SessionTracker[[#This Row],[Preferred Mentor Selected On]]),"",SessionTracker[[#This Row],[Preferred Mentor Selected On]]-WEEKDAY(SessionTracker[[#This Row],[Preferred Mentor Selected On]],2)+1)</f>
        <v>45971</v>
      </c>
      <c r="AI54" s="40">
        <f>IF(ISBLANK(SessionTracker[[#This Row],[Meeting Date]]),"",SessionTracker[[#This Row],[Meeting Date]]-WEEKDAY(SessionTracker[[#This Row],[Meeting Date]],2)+1)</f>
        <v>45971</v>
      </c>
    </row>
    <row r="55" spans="1:35" ht="19.2" customHeight="1" x14ac:dyDescent="0.3">
      <c r="A55" s="24" t="s">
        <v>279</v>
      </c>
      <c r="B55" s="6" t="s">
        <v>280</v>
      </c>
      <c r="C55" s="7" t="s">
        <v>73</v>
      </c>
      <c r="D55" s="8" t="s">
        <v>74</v>
      </c>
      <c r="E55" s="8" t="s">
        <v>281</v>
      </c>
      <c r="F55" s="7" t="s">
        <v>282</v>
      </c>
      <c r="G55" s="9" t="s">
        <v>43</v>
      </c>
      <c r="H55" s="5">
        <v>45944</v>
      </c>
      <c r="I55" s="5"/>
      <c r="J55" s="5"/>
      <c r="K55" s="5">
        <v>46000</v>
      </c>
      <c r="L55" s="23">
        <v>46066</v>
      </c>
      <c r="M55" s="27"/>
      <c r="N55" s="27"/>
      <c r="O55" s="10" t="s">
        <v>44</v>
      </c>
      <c r="P55" s="30"/>
      <c r="Q55" s="35" t="s">
        <v>283</v>
      </c>
      <c r="R55" s="35" t="s">
        <v>284</v>
      </c>
      <c r="S55" s="30" t="s">
        <v>285</v>
      </c>
      <c r="T55" s="35" t="s">
        <v>286</v>
      </c>
      <c r="U55" s="30"/>
      <c r="V55" s="9"/>
      <c r="W55" s="27"/>
      <c r="X55" s="27"/>
      <c r="Y55" s="27"/>
      <c r="Z55" s="27"/>
      <c r="AA55" s="27"/>
      <c r="AB55" s="27"/>
      <c r="AC55" s="9" t="s">
        <v>49</v>
      </c>
      <c r="AD55" s="27" t="s">
        <v>50</v>
      </c>
      <c r="AE55" s="28">
        <v>115042305484</v>
      </c>
      <c r="AF55" s="27" t="s">
        <v>51</v>
      </c>
      <c r="AG55" s="27">
        <v>0</v>
      </c>
      <c r="AH55" s="41">
        <f>IF(ISBLANK(SessionTracker[[#This Row],[Preferred Mentor Selected On]]),"",SessionTracker[[#This Row],[Preferred Mentor Selected On]]-WEEKDAY(SessionTracker[[#This Row],[Preferred Mentor Selected On]],2)+1)</f>
        <v>45999</v>
      </c>
      <c r="AI55" s="40">
        <f>IF(ISBLANK(SessionTracker[[#This Row],[Meeting Date]]),"",SessionTracker[[#This Row],[Meeting Date]]-WEEKDAY(SessionTracker[[#This Row],[Meeting Date]],2)+1)</f>
        <v>46062</v>
      </c>
    </row>
    <row r="56" spans="1:35" ht="19.2" customHeight="1" x14ac:dyDescent="0.3">
      <c r="A56" s="24" t="s">
        <v>287</v>
      </c>
      <c r="B56" s="6" t="s">
        <v>280</v>
      </c>
      <c r="C56" s="7" t="s">
        <v>73</v>
      </c>
      <c r="D56" s="8" t="s">
        <v>74</v>
      </c>
      <c r="E56" s="8" t="s">
        <v>68</v>
      </c>
      <c r="F56" s="7"/>
      <c r="G56" s="9" t="s">
        <v>43</v>
      </c>
      <c r="H56" s="5">
        <v>45944</v>
      </c>
      <c r="I56" s="5"/>
      <c r="J56" s="5"/>
      <c r="K56" s="5">
        <v>46000</v>
      </c>
      <c r="L56" s="23">
        <v>46003</v>
      </c>
      <c r="M56" s="27"/>
      <c r="N56" s="27"/>
      <c r="O56" s="10" t="s">
        <v>44</v>
      </c>
      <c r="P56" s="30"/>
      <c r="Q56" s="30"/>
      <c r="R56" s="30"/>
      <c r="S56" s="30" t="s">
        <v>47</v>
      </c>
      <c r="T56" s="30" t="s">
        <v>47</v>
      </c>
      <c r="U56" s="30"/>
      <c r="V56" s="9"/>
      <c r="W56" s="27"/>
      <c r="X56" s="27"/>
      <c r="Y56" s="27"/>
      <c r="Z56" s="27"/>
      <c r="AA56" s="27"/>
      <c r="AB56" s="27"/>
      <c r="AC56" s="9" t="s">
        <v>60</v>
      </c>
      <c r="AD56" s="27" t="s">
        <v>50</v>
      </c>
      <c r="AE56" s="28">
        <v>115029703375</v>
      </c>
      <c r="AF56" s="27" t="s">
        <v>51</v>
      </c>
      <c r="AG56" s="27" t="s">
        <v>288</v>
      </c>
      <c r="AH56" s="41">
        <f>IF(ISBLANK(SessionTracker[[#This Row],[Preferred Mentor Selected On]]),"",SessionTracker[[#This Row],[Preferred Mentor Selected On]]-WEEKDAY(SessionTracker[[#This Row],[Preferred Mentor Selected On]],2)+1)</f>
        <v>45999</v>
      </c>
      <c r="AI56" s="40">
        <f>IF(ISBLANK(SessionTracker[[#This Row],[Meeting Date]]),"",SessionTracker[[#This Row],[Meeting Date]]-WEEKDAY(SessionTracker[[#This Row],[Meeting Date]],2)+1)</f>
        <v>45999</v>
      </c>
    </row>
    <row r="57" spans="1:35" ht="19.2" customHeight="1" x14ac:dyDescent="0.3">
      <c r="A57" s="24" t="s">
        <v>289</v>
      </c>
      <c r="B57" s="6" t="s">
        <v>277</v>
      </c>
      <c r="C57" s="7" t="s">
        <v>73</v>
      </c>
      <c r="D57" s="8" t="s">
        <v>41</v>
      </c>
      <c r="E57" s="8" t="s">
        <v>117</v>
      </c>
      <c r="F57" s="7"/>
      <c r="G57" s="9" t="s">
        <v>43</v>
      </c>
      <c r="H57" s="5">
        <v>45944</v>
      </c>
      <c r="I57" s="5">
        <v>45980</v>
      </c>
      <c r="J57" s="5">
        <v>45980</v>
      </c>
      <c r="K57" s="5">
        <v>45973</v>
      </c>
      <c r="L57" s="23">
        <v>45990</v>
      </c>
      <c r="M57" s="27"/>
      <c r="N57" s="27"/>
      <c r="O57" s="10" t="s">
        <v>44</v>
      </c>
      <c r="P57" s="30"/>
      <c r="Q57" s="30"/>
      <c r="R57" s="30"/>
      <c r="S57" s="30" t="s">
        <v>47</v>
      </c>
      <c r="T57" s="30" t="s">
        <v>47</v>
      </c>
      <c r="U57" s="30"/>
      <c r="V57" s="9"/>
      <c r="W57" s="27"/>
      <c r="X57" s="27"/>
      <c r="Y57" s="27"/>
      <c r="Z57" s="27"/>
      <c r="AA57" s="27"/>
      <c r="AB57" s="27"/>
      <c r="AC57" s="9" t="s">
        <v>60</v>
      </c>
      <c r="AD57" s="27" t="s">
        <v>90</v>
      </c>
      <c r="AE57" s="28">
        <v>0</v>
      </c>
      <c r="AF57" s="27" t="s">
        <v>156</v>
      </c>
      <c r="AG57" s="27" t="s">
        <v>290</v>
      </c>
      <c r="AH57" s="41">
        <f>IF(ISBLANK(SessionTracker[[#This Row],[Preferred Mentor Selected On]]),"",SessionTracker[[#This Row],[Preferred Mentor Selected On]]-WEEKDAY(SessionTracker[[#This Row],[Preferred Mentor Selected On]],2)+1)</f>
        <v>45971</v>
      </c>
      <c r="AI57" s="40">
        <f>IF(ISBLANK(SessionTracker[[#This Row],[Meeting Date]]),"",SessionTracker[[#This Row],[Meeting Date]]-WEEKDAY(SessionTracker[[#This Row],[Meeting Date]],2)+1)</f>
        <v>45985</v>
      </c>
    </row>
    <row r="58" spans="1:35" ht="19.2" customHeight="1" x14ac:dyDescent="0.3">
      <c r="A58" s="24" t="s">
        <v>291</v>
      </c>
      <c r="B58" s="6" t="s">
        <v>292</v>
      </c>
      <c r="C58" s="7" t="s">
        <v>73</v>
      </c>
      <c r="D58" s="8" t="s">
        <v>74</v>
      </c>
      <c r="E58" s="8" t="s">
        <v>293</v>
      </c>
      <c r="F58" s="7" t="s">
        <v>294</v>
      </c>
      <c r="G58" s="9" t="s">
        <v>43</v>
      </c>
      <c r="H58" s="5">
        <v>45944</v>
      </c>
      <c r="I58" s="5">
        <v>45946</v>
      </c>
      <c r="J58" s="5">
        <v>45946</v>
      </c>
      <c r="K58" s="5">
        <v>46054</v>
      </c>
      <c r="L58" s="23">
        <v>46057</v>
      </c>
      <c r="M58" s="27"/>
      <c r="N58" s="27"/>
      <c r="O58" s="10" t="s">
        <v>44</v>
      </c>
      <c r="P58" s="30"/>
      <c r="Q58" s="35" t="s">
        <v>295</v>
      </c>
      <c r="R58" s="38" t="s">
        <v>296</v>
      </c>
      <c r="S58" s="30" t="s">
        <v>297</v>
      </c>
      <c r="T58" s="35" t="s">
        <v>298</v>
      </c>
      <c r="U58" s="30"/>
      <c r="V58" s="9"/>
      <c r="W58" s="27"/>
      <c r="X58" s="27"/>
      <c r="Y58" s="27"/>
      <c r="Z58" s="27"/>
      <c r="AA58" s="27"/>
      <c r="AB58" s="27"/>
      <c r="AC58" s="9" t="s">
        <v>49</v>
      </c>
      <c r="AD58" s="27" t="s">
        <v>90</v>
      </c>
      <c r="AE58" s="28">
        <v>115042304010</v>
      </c>
      <c r="AF58" s="27" t="s">
        <v>51</v>
      </c>
      <c r="AG58" s="27" t="s">
        <v>177</v>
      </c>
      <c r="AH58" s="41">
        <f>IF(ISBLANK(SessionTracker[[#This Row],[Preferred Mentor Selected On]]),"",SessionTracker[[#This Row],[Preferred Mentor Selected On]]-WEEKDAY(SessionTracker[[#This Row],[Preferred Mentor Selected On]],2)+1)</f>
        <v>46048</v>
      </c>
      <c r="AI58" s="40">
        <f>IF(ISBLANK(SessionTracker[[#This Row],[Meeting Date]]),"",SessionTracker[[#This Row],[Meeting Date]]-WEEKDAY(SessionTracker[[#This Row],[Meeting Date]],2)+1)</f>
        <v>46055</v>
      </c>
    </row>
    <row r="59" spans="1:35" ht="19.2" customHeight="1" x14ac:dyDescent="0.3">
      <c r="A59" s="24" t="s">
        <v>299</v>
      </c>
      <c r="B59" s="6" t="s">
        <v>300</v>
      </c>
      <c r="C59" s="7" t="s">
        <v>84</v>
      </c>
      <c r="D59" s="8" t="s">
        <v>74</v>
      </c>
      <c r="E59" s="8" t="s">
        <v>68</v>
      </c>
      <c r="F59" s="7"/>
      <c r="G59" s="9" t="s">
        <v>43</v>
      </c>
      <c r="H59" s="5">
        <v>45945</v>
      </c>
      <c r="I59" s="5"/>
      <c r="J59" s="5"/>
      <c r="K59" s="5">
        <v>45995</v>
      </c>
      <c r="L59" s="23">
        <v>46058</v>
      </c>
      <c r="M59" s="27"/>
      <c r="N59" s="27"/>
      <c r="O59" s="10" t="s">
        <v>44</v>
      </c>
      <c r="P59" s="30"/>
      <c r="Q59" s="35" t="s">
        <v>301</v>
      </c>
      <c r="R59" s="30" t="s">
        <v>302</v>
      </c>
      <c r="S59" s="30" t="s">
        <v>303</v>
      </c>
      <c r="T59" s="35" t="s">
        <v>304</v>
      </c>
      <c r="U59" s="30"/>
      <c r="V59" s="9"/>
      <c r="W59" s="27"/>
      <c r="X59" s="27"/>
      <c r="Y59" s="27"/>
      <c r="Z59" s="27"/>
      <c r="AA59" s="27"/>
      <c r="AB59" s="27"/>
      <c r="AC59" s="9" t="s">
        <v>60</v>
      </c>
      <c r="AD59" s="27" t="s">
        <v>90</v>
      </c>
      <c r="AE59" s="28">
        <v>115042909248</v>
      </c>
      <c r="AF59" s="27" t="s">
        <v>51</v>
      </c>
      <c r="AG59" s="27" t="s">
        <v>305</v>
      </c>
      <c r="AH59" s="41">
        <f>IF(ISBLANK(SessionTracker[[#This Row],[Preferred Mentor Selected On]]),"",SessionTracker[[#This Row],[Preferred Mentor Selected On]]-WEEKDAY(SessionTracker[[#This Row],[Preferred Mentor Selected On]],2)+1)</f>
        <v>45992</v>
      </c>
      <c r="AI59" s="40">
        <f>IF(ISBLANK(SessionTracker[[#This Row],[Meeting Date]]),"",SessionTracker[[#This Row],[Meeting Date]]-WEEKDAY(SessionTracker[[#This Row],[Meeting Date]],2)+1)</f>
        <v>46055</v>
      </c>
    </row>
    <row r="60" spans="1:35" ht="19.2" customHeight="1" x14ac:dyDescent="0.3">
      <c r="A60" s="24" t="s">
        <v>306</v>
      </c>
      <c r="B60" s="6" t="s">
        <v>307</v>
      </c>
      <c r="C60" s="7" t="s">
        <v>84</v>
      </c>
      <c r="D60" s="8" t="s">
        <v>74</v>
      </c>
      <c r="E60" s="8" t="s">
        <v>75</v>
      </c>
      <c r="F60" s="7"/>
      <c r="G60" s="9" t="s">
        <v>43</v>
      </c>
      <c r="H60" s="5">
        <v>45947</v>
      </c>
      <c r="I60" s="5"/>
      <c r="J60" s="5"/>
      <c r="K60" s="5">
        <v>45996</v>
      </c>
      <c r="L60" s="23">
        <v>46003</v>
      </c>
      <c r="M60" s="27"/>
      <c r="N60" s="27"/>
      <c r="O60" s="10" t="s">
        <v>44</v>
      </c>
      <c r="P60" s="30"/>
      <c r="Q60" s="30"/>
      <c r="R60" s="30"/>
      <c r="S60" s="30" t="s">
        <v>308</v>
      </c>
      <c r="T60" s="30" t="s">
        <v>309</v>
      </c>
      <c r="U60" s="30"/>
      <c r="V60" s="9"/>
      <c r="W60" s="27"/>
      <c r="X60" s="27"/>
      <c r="Y60" s="27"/>
      <c r="Z60" s="27"/>
      <c r="AA60" s="27"/>
      <c r="AB60" s="27"/>
      <c r="AC60" s="9" t="s">
        <v>49</v>
      </c>
      <c r="AD60" s="27" t="s">
        <v>50</v>
      </c>
      <c r="AE60" s="28">
        <v>115008276429</v>
      </c>
      <c r="AF60" s="27" t="s">
        <v>51</v>
      </c>
      <c r="AG60" s="27" t="s">
        <v>310</v>
      </c>
      <c r="AH60" s="41">
        <f>IF(ISBLANK(SessionTracker[[#This Row],[Preferred Mentor Selected On]]),"",SessionTracker[[#This Row],[Preferred Mentor Selected On]]-WEEKDAY(SessionTracker[[#This Row],[Preferred Mentor Selected On]],2)+1)</f>
        <v>45992</v>
      </c>
      <c r="AI60" s="40">
        <f>IF(ISBLANK(SessionTracker[[#This Row],[Meeting Date]]),"",SessionTracker[[#This Row],[Meeting Date]]-WEEKDAY(SessionTracker[[#This Row],[Meeting Date]],2)+1)</f>
        <v>45999</v>
      </c>
    </row>
    <row r="61" spans="1:35" ht="19.2" customHeight="1" x14ac:dyDescent="0.3">
      <c r="A61" s="24" t="s">
        <v>311</v>
      </c>
      <c r="B61" s="6" t="s">
        <v>307</v>
      </c>
      <c r="C61" s="7" t="s">
        <v>84</v>
      </c>
      <c r="D61" s="8" t="s">
        <v>74</v>
      </c>
      <c r="E61" s="8" t="s">
        <v>75</v>
      </c>
      <c r="F61" s="7" t="s">
        <v>312</v>
      </c>
      <c r="G61" s="9" t="s">
        <v>43</v>
      </c>
      <c r="H61" s="5">
        <v>45947</v>
      </c>
      <c r="I61" s="5"/>
      <c r="J61" s="5"/>
      <c r="K61" s="5">
        <v>45996</v>
      </c>
      <c r="L61" s="23">
        <v>46041</v>
      </c>
      <c r="M61" s="27"/>
      <c r="N61" s="27"/>
      <c r="O61" s="10" t="s">
        <v>44</v>
      </c>
      <c r="P61" s="30"/>
      <c r="Q61" s="35" t="s">
        <v>313</v>
      </c>
      <c r="R61" s="38" t="s">
        <v>314</v>
      </c>
      <c r="S61" s="30" t="s">
        <v>315</v>
      </c>
      <c r="T61" s="35" t="s">
        <v>316</v>
      </c>
      <c r="U61" s="30"/>
      <c r="V61" s="9"/>
      <c r="W61" s="27"/>
      <c r="X61" s="27"/>
      <c r="Y61" s="27"/>
      <c r="Z61" s="27"/>
      <c r="AA61" s="27"/>
      <c r="AB61" s="27"/>
      <c r="AC61" s="9" t="s">
        <v>49</v>
      </c>
      <c r="AD61" s="27" t="s">
        <v>90</v>
      </c>
      <c r="AE61" s="28">
        <v>0</v>
      </c>
      <c r="AF61" s="27" t="s">
        <v>317</v>
      </c>
      <c r="AG61" s="27" t="s">
        <v>318</v>
      </c>
      <c r="AH61" s="41">
        <f>IF(ISBLANK(SessionTracker[[#This Row],[Preferred Mentor Selected On]]),"",SessionTracker[[#This Row],[Preferred Mentor Selected On]]-WEEKDAY(SessionTracker[[#This Row],[Preferred Mentor Selected On]],2)+1)</f>
        <v>45992</v>
      </c>
      <c r="AI61" s="40">
        <f>IF(ISBLANK(SessionTracker[[#This Row],[Meeting Date]]),"",SessionTracker[[#This Row],[Meeting Date]]-WEEKDAY(SessionTracker[[#This Row],[Meeting Date]],2)+1)</f>
        <v>46041</v>
      </c>
    </row>
    <row r="62" spans="1:35" ht="19.2" customHeight="1" x14ac:dyDescent="0.3">
      <c r="A62" s="24" t="s">
        <v>319</v>
      </c>
      <c r="B62" s="6" t="s">
        <v>320</v>
      </c>
      <c r="C62" s="7" t="s">
        <v>84</v>
      </c>
      <c r="D62" s="8" t="s">
        <v>74</v>
      </c>
      <c r="E62" s="8" t="s">
        <v>75</v>
      </c>
      <c r="F62" s="7" t="s">
        <v>321</v>
      </c>
      <c r="G62" s="9" t="s">
        <v>43</v>
      </c>
      <c r="H62" s="5">
        <v>45947</v>
      </c>
      <c r="I62" s="5"/>
      <c r="J62" s="5"/>
      <c r="K62" s="5">
        <v>45995</v>
      </c>
      <c r="L62" s="23">
        <v>46064</v>
      </c>
      <c r="M62" s="27"/>
      <c r="N62" s="27"/>
      <c r="O62" s="10" t="s">
        <v>44</v>
      </c>
      <c r="P62" s="30"/>
      <c r="Q62" s="35" t="s">
        <v>322</v>
      </c>
      <c r="R62" s="30"/>
      <c r="S62" s="30" t="s">
        <v>323</v>
      </c>
      <c r="T62" s="35" t="s">
        <v>324</v>
      </c>
      <c r="U62" s="30"/>
      <c r="V62" s="9"/>
      <c r="W62" s="27"/>
      <c r="X62" s="27"/>
      <c r="Y62" s="27"/>
      <c r="Z62" s="27"/>
      <c r="AA62" s="27"/>
      <c r="AB62" s="27"/>
      <c r="AC62" s="9" t="s">
        <v>49</v>
      </c>
      <c r="AD62" s="27" t="s">
        <v>50</v>
      </c>
      <c r="AE62" s="28">
        <v>115042915820</v>
      </c>
      <c r="AF62" s="27" t="s">
        <v>51</v>
      </c>
      <c r="AG62" s="27" t="s">
        <v>325</v>
      </c>
      <c r="AH62" s="41">
        <f>IF(ISBLANK(SessionTracker[[#This Row],[Preferred Mentor Selected On]]),"",SessionTracker[[#This Row],[Preferred Mentor Selected On]]-WEEKDAY(SessionTracker[[#This Row],[Preferred Mentor Selected On]],2)+1)</f>
        <v>45992</v>
      </c>
      <c r="AI62" s="40">
        <f>IF(ISBLANK(SessionTracker[[#This Row],[Meeting Date]]),"",SessionTracker[[#This Row],[Meeting Date]]-WEEKDAY(SessionTracker[[#This Row],[Meeting Date]],2)+1)</f>
        <v>46062</v>
      </c>
    </row>
    <row r="63" spans="1:35" ht="19.2" customHeight="1" x14ac:dyDescent="0.3">
      <c r="A63" s="24" t="s">
        <v>326</v>
      </c>
      <c r="B63" s="6" t="s">
        <v>327</v>
      </c>
      <c r="C63" s="7" t="s">
        <v>40</v>
      </c>
      <c r="D63" s="8" t="s">
        <v>41</v>
      </c>
      <c r="E63" s="8" t="s">
        <v>328</v>
      </c>
      <c r="F63" s="7"/>
      <c r="G63" s="9" t="s">
        <v>43</v>
      </c>
      <c r="H63" s="5">
        <v>45972</v>
      </c>
      <c r="I63" s="5">
        <v>45980</v>
      </c>
      <c r="J63" s="5">
        <v>45980</v>
      </c>
      <c r="K63" s="5">
        <v>45999</v>
      </c>
      <c r="L63" s="23">
        <v>46001</v>
      </c>
      <c r="M63" s="27"/>
      <c r="N63" s="27"/>
      <c r="O63" s="10" t="s">
        <v>44</v>
      </c>
      <c r="P63" s="30"/>
      <c r="Q63" s="30"/>
      <c r="R63" s="30"/>
      <c r="S63" s="30" t="s">
        <v>329</v>
      </c>
      <c r="T63" s="30" t="s">
        <v>330</v>
      </c>
      <c r="U63" s="30"/>
      <c r="V63" s="9"/>
      <c r="W63" s="27"/>
      <c r="X63" s="27"/>
      <c r="Y63" s="27"/>
      <c r="Z63" s="27"/>
      <c r="AA63" s="27"/>
      <c r="AB63" s="27"/>
      <c r="AC63" s="9" t="s">
        <v>49</v>
      </c>
      <c r="AD63" s="27" t="s">
        <v>90</v>
      </c>
      <c r="AE63" s="28">
        <v>115029714002</v>
      </c>
      <c r="AF63" s="27" t="s">
        <v>51</v>
      </c>
      <c r="AG63" s="27" t="s">
        <v>331</v>
      </c>
      <c r="AH63" s="41">
        <f>IF(ISBLANK(SessionTracker[[#This Row],[Preferred Mentor Selected On]]),"",SessionTracker[[#This Row],[Preferred Mentor Selected On]]-WEEKDAY(SessionTracker[[#This Row],[Preferred Mentor Selected On]],2)+1)</f>
        <v>45999</v>
      </c>
      <c r="AI63" s="40">
        <f>IF(ISBLANK(SessionTracker[[#This Row],[Meeting Date]]),"",SessionTracker[[#This Row],[Meeting Date]]-WEEKDAY(SessionTracker[[#This Row],[Meeting Date]],2)+1)</f>
        <v>45999</v>
      </c>
    </row>
    <row r="64" spans="1:35" ht="19.2" customHeight="1" x14ac:dyDescent="0.3">
      <c r="A64" s="24" t="s">
        <v>332</v>
      </c>
      <c r="B64" s="6" t="s">
        <v>327</v>
      </c>
      <c r="C64" s="7" t="s">
        <v>40</v>
      </c>
      <c r="D64" s="8" t="s">
        <v>41</v>
      </c>
      <c r="E64" s="8" t="s">
        <v>146</v>
      </c>
      <c r="F64" s="7"/>
      <c r="G64" s="9" t="s">
        <v>43</v>
      </c>
      <c r="H64" s="5">
        <v>45972</v>
      </c>
      <c r="I64" s="5">
        <v>45980</v>
      </c>
      <c r="J64" s="5">
        <v>45980</v>
      </c>
      <c r="K64" s="5">
        <v>45999</v>
      </c>
      <c r="L64" s="23">
        <v>46001</v>
      </c>
      <c r="M64" s="27"/>
      <c r="N64" s="27"/>
      <c r="O64" s="10" t="s">
        <v>44</v>
      </c>
      <c r="P64" s="30"/>
      <c r="Q64" s="30"/>
      <c r="R64" s="30"/>
      <c r="S64" s="30" t="s">
        <v>47</v>
      </c>
      <c r="T64" s="30" t="s">
        <v>47</v>
      </c>
      <c r="U64" s="30"/>
      <c r="V64" s="9"/>
      <c r="W64" s="27"/>
      <c r="X64" s="27"/>
      <c r="Y64" s="27"/>
      <c r="Z64" s="27"/>
      <c r="AA64" s="27"/>
      <c r="AB64" s="27"/>
      <c r="AC64" s="9" t="s">
        <v>49</v>
      </c>
      <c r="AD64" s="27" t="s">
        <v>50</v>
      </c>
      <c r="AE64" s="28">
        <v>115006697342</v>
      </c>
      <c r="AF64" s="27" t="s">
        <v>51</v>
      </c>
      <c r="AG64" s="27" t="s">
        <v>331</v>
      </c>
      <c r="AH64" s="41">
        <f>IF(ISBLANK(SessionTracker[[#This Row],[Preferred Mentor Selected On]]),"",SessionTracker[[#This Row],[Preferred Mentor Selected On]]-WEEKDAY(SessionTracker[[#This Row],[Preferred Mentor Selected On]],2)+1)</f>
        <v>45999</v>
      </c>
      <c r="AI64" s="40">
        <f>IF(ISBLANK(SessionTracker[[#This Row],[Meeting Date]]),"",SessionTracker[[#This Row],[Meeting Date]]-WEEKDAY(SessionTracker[[#This Row],[Meeting Date]],2)+1)</f>
        <v>45999</v>
      </c>
    </row>
    <row r="65" spans="1:35" ht="19.2" customHeight="1" x14ac:dyDescent="0.3">
      <c r="A65" s="24" t="s">
        <v>333</v>
      </c>
      <c r="B65" s="6" t="s">
        <v>327</v>
      </c>
      <c r="C65" s="7" t="s">
        <v>40</v>
      </c>
      <c r="D65" s="8" t="s">
        <v>41</v>
      </c>
      <c r="E65" s="8" t="s">
        <v>328</v>
      </c>
      <c r="F65" s="7"/>
      <c r="G65" s="9" t="s">
        <v>43</v>
      </c>
      <c r="H65" s="5">
        <v>45972</v>
      </c>
      <c r="I65" s="5">
        <v>45980</v>
      </c>
      <c r="J65" s="5">
        <v>45980</v>
      </c>
      <c r="K65" s="5">
        <v>45999</v>
      </c>
      <c r="L65" s="23">
        <v>45942</v>
      </c>
      <c r="M65" s="27"/>
      <c r="N65" s="27"/>
      <c r="O65" s="10" t="s">
        <v>44</v>
      </c>
      <c r="P65" s="30"/>
      <c r="Q65" s="30"/>
      <c r="R65" s="30"/>
      <c r="S65" s="30" t="s">
        <v>47</v>
      </c>
      <c r="T65" s="30" t="s">
        <v>47</v>
      </c>
      <c r="U65" s="30"/>
      <c r="V65" s="9"/>
      <c r="W65" s="27"/>
      <c r="X65" s="27"/>
      <c r="Y65" s="27"/>
      <c r="Z65" s="27"/>
      <c r="AA65" s="27"/>
      <c r="AB65" s="27"/>
      <c r="AC65" s="9" t="s">
        <v>49</v>
      </c>
      <c r="AD65" s="27" t="s">
        <v>50</v>
      </c>
      <c r="AE65" s="28">
        <v>115006696828</v>
      </c>
      <c r="AF65" s="27" t="s">
        <v>51</v>
      </c>
      <c r="AG65" s="27" t="s">
        <v>334</v>
      </c>
      <c r="AH65" s="41">
        <f>IF(ISBLANK(SessionTracker[[#This Row],[Preferred Mentor Selected On]]),"",SessionTracker[[#This Row],[Preferred Mentor Selected On]]-WEEKDAY(SessionTracker[[#This Row],[Preferred Mentor Selected On]],2)+1)</f>
        <v>45999</v>
      </c>
      <c r="AI65" s="40">
        <f>IF(ISBLANK(SessionTracker[[#This Row],[Meeting Date]]),"",SessionTracker[[#This Row],[Meeting Date]]-WEEKDAY(SessionTracker[[#This Row],[Meeting Date]],2)+1)</f>
        <v>45936</v>
      </c>
    </row>
    <row r="66" spans="1:35" ht="19.2" customHeight="1" x14ac:dyDescent="0.3">
      <c r="A66" s="24" t="s">
        <v>335</v>
      </c>
      <c r="B66" s="6" t="s">
        <v>336</v>
      </c>
      <c r="C66" s="7" t="s">
        <v>40</v>
      </c>
      <c r="D66" s="8" t="s">
        <v>74</v>
      </c>
      <c r="E66" s="8" t="s">
        <v>337</v>
      </c>
      <c r="F66" s="7"/>
      <c r="G66" s="9" t="s">
        <v>43</v>
      </c>
      <c r="H66" s="5">
        <v>45972</v>
      </c>
      <c r="I66" s="5"/>
      <c r="J66" s="5"/>
      <c r="K66" s="5">
        <v>45996</v>
      </c>
      <c r="L66" s="23">
        <v>46007</v>
      </c>
      <c r="M66" s="27"/>
      <c r="N66" s="27"/>
      <c r="O66" s="10" t="s">
        <v>44</v>
      </c>
      <c r="P66" s="30"/>
      <c r="Q66" s="30"/>
      <c r="R66" s="30"/>
      <c r="S66" s="30" t="s">
        <v>338</v>
      </c>
      <c r="T66" s="30" t="s">
        <v>339</v>
      </c>
      <c r="U66" s="30"/>
      <c r="V66" s="9"/>
      <c r="W66" s="27"/>
      <c r="X66" s="27"/>
      <c r="Y66" s="27"/>
      <c r="Z66" s="27"/>
      <c r="AA66" s="27"/>
      <c r="AB66" s="27"/>
      <c r="AC66" s="9" t="s">
        <v>49</v>
      </c>
      <c r="AD66" s="27" t="s">
        <v>50</v>
      </c>
      <c r="AE66" s="28">
        <v>115006004834</v>
      </c>
      <c r="AF66" s="27" t="s">
        <v>51</v>
      </c>
      <c r="AG66" s="27">
        <v>0</v>
      </c>
      <c r="AH66" s="41">
        <f>IF(ISBLANK(SessionTracker[[#This Row],[Preferred Mentor Selected On]]),"",SessionTracker[[#This Row],[Preferred Mentor Selected On]]-WEEKDAY(SessionTracker[[#This Row],[Preferred Mentor Selected On]],2)+1)</f>
        <v>45992</v>
      </c>
      <c r="AI66" s="40">
        <f>IF(ISBLANK(SessionTracker[[#This Row],[Meeting Date]]),"",SessionTracker[[#This Row],[Meeting Date]]-WEEKDAY(SessionTracker[[#This Row],[Meeting Date]],2)+1)</f>
        <v>46006</v>
      </c>
    </row>
    <row r="67" spans="1:35" ht="19.2" customHeight="1" x14ac:dyDescent="0.3">
      <c r="A67" s="24" t="s">
        <v>340</v>
      </c>
      <c r="B67" s="6" t="s">
        <v>336</v>
      </c>
      <c r="C67" s="7" t="s">
        <v>40</v>
      </c>
      <c r="D67" s="8" t="s">
        <v>74</v>
      </c>
      <c r="E67" s="8" t="s">
        <v>341</v>
      </c>
      <c r="F67" s="7"/>
      <c r="G67" s="9" t="s">
        <v>43</v>
      </c>
      <c r="H67" s="5">
        <v>45972</v>
      </c>
      <c r="I67" s="5"/>
      <c r="J67" s="5"/>
      <c r="K67" s="5">
        <v>45996</v>
      </c>
      <c r="L67" s="23">
        <v>46020</v>
      </c>
      <c r="M67" s="27"/>
      <c r="N67" s="27"/>
      <c r="O67" s="10" t="s">
        <v>44</v>
      </c>
      <c r="P67" s="30"/>
      <c r="Q67" s="30"/>
      <c r="R67" s="30"/>
      <c r="S67" s="30" t="s">
        <v>342</v>
      </c>
      <c r="T67" s="30" t="s">
        <v>343</v>
      </c>
      <c r="U67" s="30"/>
      <c r="V67" s="9"/>
      <c r="W67" s="27"/>
      <c r="X67" s="27"/>
      <c r="Y67" s="27"/>
      <c r="Z67" s="27"/>
      <c r="AA67" s="27"/>
      <c r="AB67" s="27"/>
      <c r="AC67" s="9" t="s">
        <v>60</v>
      </c>
      <c r="AD67" s="27" t="s">
        <v>50</v>
      </c>
      <c r="AE67" s="28">
        <v>115012288408</v>
      </c>
      <c r="AF67" s="27" t="s">
        <v>51</v>
      </c>
      <c r="AG67" s="27">
        <v>0</v>
      </c>
      <c r="AH67" s="41">
        <f>IF(ISBLANK(SessionTracker[[#This Row],[Preferred Mentor Selected On]]),"",SessionTracker[[#This Row],[Preferred Mentor Selected On]]-WEEKDAY(SessionTracker[[#This Row],[Preferred Mentor Selected On]],2)+1)</f>
        <v>45992</v>
      </c>
      <c r="AI67" s="40">
        <f>IF(ISBLANK(SessionTracker[[#This Row],[Meeting Date]]),"",SessionTracker[[#This Row],[Meeting Date]]-WEEKDAY(SessionTracker[[#This Row],[Meeting Date]],2)+1)</f>
        <v>46020</v>
      </c>
    </row>
    <row r="68" spans="1:35" ht="19.2" customHeight="1" x14ac:dyDescent="0.3">
      <c r="A68" s="24" t="s">
        <v>344</v>
      </c>
      <c r="B68" s="6" t="s">
        <v>336</v>
      </c>
      <c r="C68" s="7" t="s">
        <v>40</v>
      </c>
      <c r="D68" s="8" t="s">
        <v>74</v>
      </c>
      <c r="E68" s="8" t="s">
        <v>345</v>
      </c>
      <c r="F68" s="7"/>
      <c r="G68" s="9" t="s">
        <v>43</v>
      </c>
      <c r="H68" s="5">
        <v>45972</v>
      </c>
      <c r="I68" s="5"/>
      <c r="J68" s="5"/>
      <c r="K68" s="5">
        <v>45996</v>
      </c>
      <c r="L68" s="23">
        <v>46035</v>
      </c>
      <c r="M68" s="27"/>
      <c r="N68" s="27"/>
      <c r="O68" s="10" t="s">
        <v>44</v>
      </c>
      <c r="P68" s="30"/>
      <c r="Q68" s="35" t="s">
        <v>346</v>
      </c>
      <c r="R68" s="30"/>
      <c r="S68" s="30" t="s">
        <v>347</v>
      </c>
      <c r="T68" s="35" t="s">
        <v>348</v>
      </c>
      <c r="U68" s="30"/>
      <c r="V68" s="9"/>
      <c r="W68" s="27"/>
      <c r="X68" s="27"/>
      <c r="Y68" s="27"/>
      <c r="Z68" s="27"/>
      <c r="AA68" s="27"/>
      <c r="AB68" s="27"/>
      <c r="AC68" s="9" t="s">
        <v>60</v>
      </c>
      <c r="AD68" s="27" t="s">
        <v>50</v>
      </c>
      <c r="AE68" s="28">
        <v>115023428054</v>
      </c>
      <c r="AF68" s="27" t="s">
        <v>51</v>
      </c>
      <c r="AG68" s="27">
        <v>0</v>
      </c>
      <c r="AH68" s="41">
        <f>IF(ISBLANK(SessionTracker[[#This Row],[Preferred Mentor Selected On]]),"",SessionTracker[[#This Row],[Preferred Mentor Selected On]]-WEEKDAY(SessionTracker[[#This Row],[Preferred Mentor Selected On]],2)+1)</f>
        <v>45992</v>
      </c>
      <c r="AI68" s="40">
        <f>IF(ISBLANK(SessionTracker[[#This Row],[Meeting Date]]),"",SessionTracker[[#This Row],[Meeting Date]]-WEEKDAY(SessionTracker[[#This Row],[Meeting Date]],2)+1)</f>
        <v>46034</v>
      </c>
    </row>
    <row r="69" spans="1:35" ht="19.2" customHeight="1" x14ac:dyDescent="0.3">
      <c r="A69" s="24" t="s">
        <v>349</v>
      </c>
      <c r="B69" s="6" t="s">
        <v>350</v>
      </c>
      <c r="C69" s="7" t="s">
        <v>40</v>
      </c>
      <c r="D69" s="8" t="s">
        <v>351</v>
      </c>
      <c r="E69" s="8" t="s">
        <v>352</v>
      </c>
      <c r="F69" s="7" t="s">
        <v>353</v>
      </c>
      <c r="G69" s="9" t="s">
        <v>43</v>
      </c>
      <c r="H69" s="5">
        <v>45973</v>
      </c>
      <c r="I69" s="5"/>
      <c r="J69" s="5">
        <v>46104</v>
      </c>
      <c r="K69" s="5">
        <v>46118</v>
      </c>
      <c r="L69" s="23">
        <v>46122</v>
      </c>
      <c r="M69" s="27"/>
      <c r="N69" s="27"/>
      <c r="O69" s="10" t="s">
        <v>44</v>
      </c>
      <c r="P69" s="30"/>
      <c r="Q69" s="31" t="s">
        <v>354</v>
      </c>
      <c r="R69" s="35" t="s">
        <v>355</v>
      </c>
      <c r="S69" s="30" t="s">
        <v>356</v>
      </c>
      <c r="T69" s="30" t="s">
        <v>357</v>
      </c>
      <c r="U69" s="30"/>
      <c r="V69" s="9"/>
      <c r="W69" s="27"/>
      <c r="X69" s="27"/>
      <c r="Y69" s="27"/>
      <c r="Z69" s="27"/>
      <c r="AA69" s="27"/>
      <c r="AB69" s="27"/>
      <c r="AC69" s="9" t="s">
        <v>49</v>
      </c>
      <c r="AD69" s="27">
        <v>0</v>
      </c>
      <c r="AE69" s="28">
        <v>0</v>
      </c>
      <c r="AF69" s="27" t="s">
        <v>51</v>
      </c>
      <c r="AG69" s="27" t="s">
        <v>358</v>
      </c>
      <c r="AH69" s="41">
        <f>IF(ISBLANK(SessionTracker[[#This Row],[Preferred Mentor Selected On]]),"",SessionTracker[[#This Row],[Preferred Mentor Selected On]]-WEEKDAY(SessionTracker[[#This Row],[Preferred Mentor Selected On]],2)+1)</f>
        <v>46118</v>
      </c>
      <c r="AI69" s="40">
        <f>IF(ISBLANK(SessionTracker[[#This Row],[Meeting Date]]),"",SessionTracker[[#This Row],[Meeting Date]]-WEEKDAY(SessionTracker[[#This Row],[Meeting Date]],2)+1)</f>
        <v>46118</v>
      </c>
    </row>
    <row r="70" spans="1:35" ht="19.2" customHeight="1" x14ac:dyDescent="0.3">
      <c r="A70" s="24" t="s">
        <v>359</v>
      </c>
      <c r="B70" s="6" t="s">
        <v>360</v>
      </c>
      <c r="C70" s="7" t="s">
        <v>40</v>
      </c>
      <c r="D70" s="8" t="s">
        <v>41</v>
      </c>
      <c r="E70" s="8" t="s">
        <v>361</v>
      </c>
      <c r="F70" s="7" t="s">
        <v>362</v>
      </c>
      <c r="G70" s="9" t="s">
        <v>43</v>
      </c>
      <c r="H70" s="5">
        <v>45973</v>
      </c>
      <c r="I70" s="5"/>
      <c r="J70" s="5">
        <v>46105</v>
      </c>
      <c r="K70" s="5">
        <v>46112</v>
      </c>
      <c r="L70" s="23">
        <v>46121</v>
      </c>
      <c r="M70" s="27"/>
      <c r="N70" s="27"/>
      <c r="O70" s="10" t="s">
        <v>44</v>
      </c>
      <c r="P70" s="30"/>
      <c r="Q70" s="32" t="s">
        <v>363</v>
      </c>
      <c r="R70" s="33" t="s">
        <v>364</v>
      </c>
      <c r="S70" s="30" t="s">
        <v>365</v>
      </c>
      <c r="T70" s="30" t="s">
        <v>366</v>
      </c>
      <c r="U70" s="30"/>
      <c r="V70" s="9"/>
      <c r="W70" s="27"/>
      <c r="X70" s="27"/>
      <c r="Y70" s="27"/>
      <c r="Z70" s="27"/>
      <c r="AA70" s="27"/>
      <c r="AB70" s="27"/>
      <c r="AC70" s="9" t="s">
        <v>49</v>
      </c>
      <c r="AD70" s="27">
        <v>0</v>
      </c>
      <c r="AE70" s="28">
        <v>115078086801</v>
      </c>
      <c r="AF70" s="27" t="s">
        <v>367</v>
      </c>
      <c r="AG70" s="27" t="s">
        <v>368</v>
      </c>
      <c r="AH70" s="41">
        <f>IF(ISBLANK(SessionTracker[[#This Row],[Preferred Mentor Selected On]]),"",SessionTracker[[#This Row],[Preferred Mentor Selected On]]-WEEKDAY(SessionTracker[[#This Row],[Preferred Mentor Selected On]],2)+1)</f>
        <v>46111</v>
      </c>
      <c r="AI70" s="40">
        <f>IF(ISBLANK(SessionTracker[[#This Row],[Meeting Date]]),"",SessionTracker[[#This Row],[Meeting Date]]-WEEKDAY(SessionTracker[[#This Row],[Meeting Date]],2)+1)</f>
        <v>46118</v>
      </c>
    </row>
    <row r="71" spans="1:35" ht="19.2" customHeight="1" x14ac:dyDescent="0.3">
      <c r="A71" s="24" t="s">
        <v>369</v>
      </c>
      <c r="B71" s="6" t="s">
        <v>370</v>
      </c>
      <c r="C71" s="7" t="s">
        <v>40</v>
      </c>
      <c r="D71" s="8" t="s">
        <v>41</v>
      </c>
      <c r="E71" s="8" t="s">
        <v>371</v>
      </c>
      <c r="F71" s="7"/>
      <c r="G71" s="9" t="s">
        <v>43</v>
      </c>
      <c r="H71" s="5"/>
      <c r="I71" s="5"/>
      <c r="J71" s="5"/>
      <c r="K71" s="23">
        <v>46009</v>
      </c>
      <c r="L71" s="23">
        <v>46009</v>
      </c>
      <c r="M71" s="27"/>
      <c r="N71" s="27"/>
      <c r="O71" s="10" t="s">
        <v>44</v>
      </c>
      <c r="P71" s="30"/>
      <c r="Q71" s="30"/>
      <c r="R71" s="30"/>
      <c r="S71" s="30" t="s">
        <v>372</v>
      </c>
      <c r="T71" s="30" t="s">
        <v>372</v>
      </c>
      <c r="U71" s="30"/>
      <c r="V71" s="9"/>
      <c r="W71" s="27"/>
      <c r="X71" s="27"/>
      <c r="Y71" s="27"/>
      <c r="Z71" s="27"/>
      <c r="AA71" s="27"/>
      <c r="AB71" s="27"/>
      <c r="AC71" s="9" t="s">
        <v>60</v>
      </c>
      <c r="AD71" s="27">
        <v>0</v>
      </c>
      <c r="AE71" s="28">
        <v>0</v>
      </c>
      <c r="AF71" s="27" t="s">
        <v>51</v>
      </c>
      <c r="AG71" s="27">
        <v>0</v>
      </c>
      <c r="AH71" s="41">
        <f>IF(ISBLANK(SessionTracker[[#This Row],[Preferred Mentor Selected On]]),"",SessionTracker[[#This Row],[Preferred Mentor Selected On]]-WEEKDAY(SessionTracker[[#This Row],[Preferred Mentor Selected On]],2)+1)</f>
        <v>46006</v>
      </c>
      <c r="AI71" s="40">
        <f>IF(ISBLANK(SessionTracker[[#This Row],[Meeting Date]]),"",SessionTracker[[#This Row],[Meeting Date]]-WEEKDAY(SessionTracker[[#This Row],[Meeting Date]],2)+1)</f>
        <v>46006</v>
      </c>
    </row>
    <row r="72" spans="1:35" ht="19.2" customHeight="1" x14ac:dyDescent="0.3">
      <c r="A72" s="24" t="s">
        <v>373</v>
      </c>
      <c r="B72" s="6" t="s">
        <v>374</v>
      </c>
      <c r="C72" s="7" t="s">
        <v>40</v>
      </c>
      <c r="D72" s="8" t="s">
        <v>41</v>
      </c>
      <c r="E72" s="8" t="s">
        <v>375</v>
      </c>
      <c r="F72" s="7" t="s">
        <v>376</v>
      </c>
      <c r="G72" s="9" t="s">
        <v>43</v>
      </c>
      <c r="H72" s="5">
        <v>45992</v>
      </c>
      <c r="I72" s="5">
        <v>46001</v>
      </c>
      <c r="J72" s="5">
        <v>46001</v>
      </c>
      <c r="K72" s="5">
        <v>46009</v>
      </c>
      <c r="L72" s="23">
        <v>46029</v>
      </c>
      <c r="M72" s="27"/>
      <c r="N72" s="27"/>
      <c r="O72" s="10" t="s">
        <v>44</v>
      </c>
      <c r="P72" s="30"/>
      <c r="Q72" s="38" t="s">
        <v>377</v>
      </c>
      <c r="R72" s="35" t="s">
        <v>378</v>
      </c>
      <c r="S72" s="30" t="s">
        <v>379</v>
      </c>
      <c r="T72" s="35" t="s">
        <v>380</v>
      </c>
      <c r="U72" s="30"/>
      <c r="V72" s="9"/>
      <c r="W72" s="27"/>
      <c r="X72" s="27"/>
      <c r="Y72" s="27"/>
      <c r="Z72" s="27"/>
      <c r="AA72" s="27"/>
      <c r="AB72" s="27"/>
      <c r="AC72" s="9" t="s">
        <v>49</v>
      </c>
      <c r="AD72" s="27" t="s">
        <v>50</v>
      </c>
      <c r="AE72" s="28">
        <v>115018340690</v>
      </c>
      <c r="AF72" s="27" t="s">
        <v>51</v>
      </c>
      <c r="AG72" s="27">
        <v>0</v>
      </c>
      <c r="AH72" s="41">
        <f>IF(ISBLANK(SessionTracker[[#This Row],[Preferred Mentor Selected On]]),"",SessionTracker[[#This Row],[Preferred Mentor Selected On]]-WEEKDAY(SessionTracker[[#This Row],[Preferred Mentor Selected On]],2)+1)</f>
        <v>46006</v>
      </c>
      <c r="AI72" s="40">
        <f>IF(ISBLANK(SessionTracker[[#This Row],[Meeting Date]]),"",SessionTracker[[#This Row],[Meeting Date]]-WEEKDAY(SessionTracker[[#This Row],[Meeting Date]],2)+1)</f>
        <v>46027</v>
      </c>
    </row>
    <row r="73" spans="1:35" ht="19.2" customHeight="1" x14ac:dyDescent="0.3">
      <c r="A73" s="24" t="s">
        <v>381</v>
      </c>
      <c r="B73" s="6" t="s">
        <v>374</v>
      </c>
      <c r="C73" s="7" t="s">
        <v>40</v>
      </c>
      <c r="D73" s="8" t="s">
        <v>41</v>
      </c>
      <c r="E73" s="8" t="s">
        <v>382</v>
      </c>
      <c r="F73" s="7"/>
      <c r="G73" s="9" t="s">
        <v>43</v>
      </c>
      <c r="H73" s="5">
        <v>45992</v>
      </c>
      <c r="I73" s="5">
        <v>46001</v>
      </c>
      <c r="J73" s="5">
        <v>46001</v>
      </c>
      <c r="K73" s="5">
        <v>46009</v>
      </c>
      <c r="L73" s="23">
        <v>46022</v>
      </c>
      <c r="M73" s="27"/>
      <c r="N73" s="27"/>
      <c r="O73" s="10" t="s">
        <v>44</v>
      </c>
      <c r="P73" s="30"/>
      <c r="Q73" s="30"/>
      <c r="R73" s="30"/>
      <c r="S73" s="30" t="s">
        <v>383</v>
      </c>
      <c r="T73" s="30" t="s">
        <v>384</v>
      </c>
      <c r="U73" s="30"/>
      <c r="V73" s="9"/>
      <c r="W73" s="27"/>
      <c r="X73" s="27"/>
      <c r="Y73" s="27"/>
      <c r="Z73" s="27"/>
      <c r="AA73" s="27"/>
      <c r="AB73" s="27"/>
      <c r="AC73" s="9" t="s">
        <v>49</v>
      </c>
      <c r="AD73" s="27" t="s">
        <v>50</v>
      </c>
      <c r="AE73" s="28">
        <v>115015667192</v>
      </c>
      <c r="AF73" s="27" t="s">
        <v>51</v>
      </c>
      <c r="AG73" s="27" t="s">
        <v>385</v>
      </c>
      <c r="AH73" s="41">
        <f>IF(ISBLANK(SessionTracker[[#This Row],[Preferred Mentor Selected On]]),"",SessionTracker[[#This Row],[Preferred Mentor Selected On]]-WEEKDAY(SessionTracker[[#This Row],[Preferred Mentor Selected On]],2)+1)</f>
        <v>46006</v>
      </c>
      <c r="AI73" s="40">
        <f>IF(ISBLANK(SessionTracker[[#This Row],[Meeting Date]]),"",SessionTracker[[#This Row],[Meeting Date]]-WEEKDAY(SessionTracker[[#This Row],[Meeting Date]],2)+1)</f>
        <v>46020</v>
      </c>
    </row>
    <row r="74" spans="1:35" ht="19.2" customHeight="1" x14ac:dyDescent="0.3">
      <c r="A74" s="24" t="s">
        <v>386</v>
      </c>
      <c r="B74" s="6" t="s">
        <v>374</v>
      </c>
      <c r="C74" s="7" t="s">
        <v>40</v>
      </c>
      <c r="D74" s="8" t="s">
        <v>41</v>
      </c>
      <c r="E74" s="8" t="s">
        <v>382</v>
      </c>
      <c r="F74" s="7" t="s">
        <v>387</v>
      </c>
      <c r="G74" s="9" t="s">
        <v>43</v>
      </c>
      <c r="H74" s="5">
        <v>45992</v>
      </c>
      <c r="I74" s="5">
        <v>46001</v>
      </c>
      <c r="J74" s="5">
        <v>46001</v>
      </c>
      <c r="K74" s="5">
        <v>46009</v>
      </c>
      <c r="L74" s="23">
        <v>46074</v>
      </c>
      <c r="M74" s="27"/>
      <c r="N74" s="27"/>
      <c r="O74" s="10" t="s">
        <v>44</v>
      </c>
      <c r="P74" s="30"/>
      <c r="Q74" s="30" t="s">
        <v>388</v>
      </c>
      <c r="R74" s="38" t="s">
        <v>389</v>
      </c>
      <c r="S74" s="30">
        <v>0</v>
      </c>
      <c r="T74" s="30">
        <v>0</v>
      </c>
      <c r="U74" s="30"/>
      <c r="V74" s="9"/>
      <c r="W74" s="27"/>
      <c r="X74" s="27"/>
      <c r="Y74" s="27"/>
      <c r="Z74" s="27"/>
      <c r="AA74" s="27"/>
      <c r="AB74" s="27"/>
      <c r="AC74" s="9" t="s">
        <v>49</v>
      </c>
      <c r="AD74" s="27" t="s">
        <v>90</v>
      </c>
      <c r="AE74" s="28">
        <v>0</v>
      </c>
      <c r="AF74" s="27">
        <v>0</v>
      </c>
      <c r="AG74" s="27">
        <v>0</v>
      </c>
      <c r="AH74" s="41">
        <f>IF(ISBLANK(SessionTracker[[#This Row],[Preferred Mentor Selected On]]),"",SessionTracker[[#This Row],[Preferred Mentor Selected On]]-WEEKDAY(SessionTracker[[#This Row],[Preferred Mentor Selected On]],2)+1)</f>
        <v>46006</v>
      </c>
      <c r="AI74" s="40">
        <f>IF(ISBLANK(SessionTracker[[#This Row],[Meeting Date]]),"",SessionTracker[[#This Row],[Meeting Date]]-WEEKDAY(SessionTracker[[#This Row],[Meeting Date]],2)+1)</f>
        <v>46069</v>
      </c>
    </row>
    <row r="75" spans="1:35" ht="19.2" customHeight="1" x14ac:dyDescent="0.3">
      <c r="A75" s="24" t="s">
        <v>390</v>
      </c>
      <c r="B75" s="6" t="s">
        <v>391</v>
      </c>
      <c r="C75" s="7" t="s">
        <v>40</v>
      </c>
      <c r="D75" s="8" t="s">
        <v>41</v>
      </c>
      <c r="E75" s="8" t="s">
        <v>371</v>
      </c>
      <c r="F75" s="7"/>
      <c r="G75" s="9" t="s">
        <v>43</v>
      </c>
      <c r="H75" s="5"/>
      <c r="I75" s="5"/>
      <c r="J75" s="5"/>
      <c r="K75" s="5">
        <v>46035</v>
      </c>
      <c r="L75" s="23">
        <v>46009</v>
      </c>
      <c r="M75" s="27"/>
      <c r="N75" s="27"/>
      <c r="O75" s="10" t="s">
        <v>44</v>
      </c>
      <c r="P75" s="30"/>
      <c r="Q75" s="30"/>
      <c r="R75" s="30"/>
      <c r="S75" s="30" t="s">
        <v>372</v>
      </c>
      <c r="T75" s="30" t="s">
        <v>372</v>
      </c>
      <c r="U75" s="30"/>
      <c r="V75" s="9"/>
      <c r="W75" s="27"/>
      <c r="X75" s="27"/>
      <c r="Y75" s="27"/>
      <c r="Z75" s="27"/>
      <c r="AA75" s="27"/>
      <c r="AB75" s="27"/>
      <c r="AC75" s="9" t="s">
        <v>60</v>
      </c>
      <c r="AD75" s="27">
        <v>0</v>
      </c>
      <c r="AE75" s="28">
        <v>0</v>
      </c>
      <c r="AF75" s="27" t="s">
        <v>317</v>
      </c>
      <c r="AG75" s="27" t="s">
        <v>392</v>
      </c>
      <c r="AH75" s="41">
        <f>IF(ISBLANK(SessionTracker[[#This Row],[Preferred Mentor Selected On]]),"",SessionTracker[[#This Row],[Preferred Mentor Selected On]]-WEEKDAY(SessionTracker[[#This Row],[Preferred Mentor Selected On]],2)+1)</f>
        <v>46034</v>
      </c>
      <c r="AI75" s="40">
        <f>IF(ISBLANK(SessionTracker[[#This Row],[Meeting Date]]),"",SessionTracker[[#This Row],[Meeting Date]]-WEEKDAY(SessionTracker[[#This Row],[Meeting Date]],2)+1)</f>
        <v>46006</v>
      </c>
    </row>
    <row r="76" spans="1:35" ht="19.2" customHeight="1" x14ac:dyDescent="0.3">
      <c r="A76" s="24" t="s">
        <v>393</v>
      </c>
      <c r="B76" s="6" t="s">
        <v>391</v>
      </c>
      <c r="C76" s="7" t="s">
        <v>40</v>
      </c>
      <c r="D76" s="8" t="s">
        <v>41</v>
      </c>
      <c r="E76" s="8" t="s">
        <v>394</v>
      </c>
      <c r="F76" s="7"/>
      <c r="G76" s="9" t="s">
        <v>43</v>
      </c>
      <c r="H76" s="5">
        <v>45992</v>
      </c>
      <c r="I76" s="5">
        <v>46008</v>
      </c>
      <c r="J76" s="5">
        <v>46008</v>
      </c>
      <c r="K76" s="5">
        <v>46035</v>
      </c>
      <c r="L76" s="23">
        <v>46038</v>
      </c>
      <c r="M76" s="27"/>
      <c r="N76" s="27"/>
      <c r="O76" s="10" t="s">
        <v>44</v>
      </c>
      <c r="P76" s="30"/>
      <c r="Q76" s="34" t="s">
        <v>395</v>
      </c>
      <c r="R76" s="30"/>
      <c r="S76" s="30" t="s">
        <v>396</v>
      </c>
      <c r="T76" s="35" t="s">
        <v>397</v>
      </c>
      <c r="U76" s="30"/>
      <c r="V76" s="9"/>
      <c r="W76" s="27"/>
      <c r="X76" s="27"/>
      <c r="Y76" s="27"/>
      <c r="Z76" s="27"/>
      <c r="AA76" s="27"/>
      <c r="AB76" s="27"/>
      <c r="AC76" s="9" t="s">
        <v>49</v>
      </c>
      <c r="AD76" s="27" t="s">
        <v>50</v>
      </c>
      <c r="AE76" s="28">
        <v>115023047140</v>
      </c>
      <c r="AF76" s="27" t="s">
        <v>51</v>
      </c>
      <c r="AG76" s="27">
        <v>0</v>
      </c>
      <c r="AH76" s="41">
        <f>IF(ISBLANK(SessionTracker[[#This Row],[Preferred Mentor Selected On]]),"",SessionTracker[[#This Row],[Preferred Mentor Selected On]]-WEEKDAY(SessionTracker[[#This Row],[Preferred Mentor Selected On]],2)+1)</f>
        <v>46034</v>
      </c>
      <c r="AI76" s="40">
        <f>IF(ISBLANK(SessionTracker[[#This Row],[Meeting Date]]),"",SessionTracker[[#This Row],[Meeting Date]]-WEEKDAY(SessionTracker[[#This Row],[Meeting Date]],2)+1)</f>
        <v>46034</v>
      </c>
    </row>
    <row r="77" spans="1:35" ht="19.2" customHeight="1" x14ac:dyDescent="0.3">
      <c r="A77" s="24" t="s">
        <v>398</v>
      </c>
      <c r="B77" s="6" t="s">
        <v>399</v>
      </c>
      <c r="C77" s="7" t="s">
        <v>40</v>
      </c>
      <c r="D77" s="8" t="s">
        <v>41</v>
      </c>
      <c r="E77" s="8" t="s">
        <v>400</v>
      </c>
      <c r="F77" s="7" t="s">
        <v>401</v>
      </c>
      <c r="G77" s="9" t="s">
        <v>43</v>
      </c>
      <c r="H77" s="5">
        <v>45992</v>
      </c>
      <c r="I77" s="5">
        <v>46000</v>
      </c>
      <c r="J77" s="5">
        <v>46000</v>
      </c>
      <c r="K77" s="5">
        <v>46004</v>
      </c>
      <c r="L77" s="23">
        <v>46027</v>
      </c>
      <c r="M77" s="27"/>
      <c r="N77" s="27"/>
      <c r="O77" s="10" t="s">
        <v>44</v>
      </c>
      <c r="P77" s="30"/>
      <c r="Q77" s="35" t="s">
        <v>402</v>
      </c>
      <c r="R77" s="38" t="s">
        <v>403</v>
      </c>
      <c r="S77" s="30" t="s">
        <v>404</v>
      </c>
      <c r="T77" s="35" t="s">
        <v>405</v>
      </c>
      <c r="U77" s="30"/>
      <c r="V77" s="9"/>
      <c r="W77" s="27"/>
      <c r="X77" s="27"/>
      <c r="Y77" s="27"/>
      <c r="Z77" s="27"/>
      <c r="AA77" s="27"/>
      <c r="AB77" s="27"/>
      <c r="AC77" s="9" t="s">
        <v>49</v>
      </c>
      <c r="AD77" s="27" t="s">
        <v>50</v>
      </c>
      <c r="AE77" s="28">
        <v>115016261180</v>
      </c>
      <c r="AF77" s="27" t="s">
        <v>51</v>
      </c>
      <c r="AG77" s="27" t="s">
        <v>406</v>
      </c>
      <c r="AH77" s="41">
        <f>IF(ISBLANK(SessionTracker[[#This Row],[Preferred Mentor Selected On]]),"",SessionTracker[[#This Row],[Preferred Mentor Selected On]]-WEEKDAY(SessionTracker[[#This Row],[Preferred Mentor Selected On]],2)+1)</f>
        <v>45999</v>
      </c>
      <c r="AI77" s="40">
        <f>IF(ISBLANK(SessionTracker[[#This Row],[Meeting Date]]),"",SessionTracker[[#This Row],[Meeting Date]]-WEEKDAY(SessionTracker[[#This Row],[Meeting Date]],2)+1)</f>
        <v>46027</v>
      </c>
    </row>
    <row r="78" spans="1:35" ht="19.2" customHeight="1" x14ac:dyDescent="0.3">
      <c r="A78" s="24" t="s">
        <v>407</v>
      </c>
      <c r="B78" s="6" t="s">
        <v>399</v>
      </c>
      <c r="C78" s="7" t="s">
        <v>40</v>
      </c>
      <c r="D78" s="8" t="s">
        <v>41</v>
      </c>
      <c r="E78" s="8" t="s">
        <v>408</v>
      </c>
      <c r="F78" s="7" t="s">
        <v>409</v>
      </c>
      <c r="G78" s="9" t="s">
        <v>43</v>
      </c>
      <c r="H78" s="5">
        <v>45992</v>
      </c>
      <c r="I78" s="5">
        <v>46000</v>
      </c>
      <c r="J78" s="5">
        <v>46000</v>
      </c>
      <c r="K78" s="5">
        <v>46004</v>
      </c>
      <c r="L78" s="23">
        <v>46038</v>
      </c>
      <c r="M78" s="27"/>
      <c r="N78" s="27"/>
      <c r="O78" s="10" t="s">
        <v>44</v>
      </c>
      <c r="P78" s="30"/>
      <c r="Q78" s="38" t="s">
        <v>410</v>
      </c>
      <c r="R78" s="38" t="s">
        <v>411</v>
      </c>
      <c r="S78" s="30" t="s">
        <v>412</v>
      </c>
      <c r="T78" s="35" t="s">
        <v>413</v>
      </c>
      <c r="U78" s="30"/>
      <c r="V78" s="9"/>
      <c r="W78" s="27"/>
      <c r="X78" s="27"/>
      <c r="Y78" s="27"/>
      <c r="Z78" s="27"/>
      <c r="AA78" s="27"/>
      <c r="AB78" s="27"/>
      <c r="AC78" s="9" t="s">
        <v>49</v>
      </c>
      <c r="AD78" s="27" t="s">
        <v>50</v>
      </c>
      <c r="AE78" s="28">
        <v>115024940419</v>
      </c>
      <c r="AF78" s="27" t="s">
        <v>51</v>
      </c>
      <c r="AG78" s="27">
        <v>0</v>
      </c>
      <c r="AH78" s="41">
        <f>IF(ISBLANK(SessionTracker[[#This Row],[Preferred Mentor Selected On]]),"",SessionTracker[[#This Row],[Preferred Mentor Selected On]]-WEEKDAY(SessionTracker[[#This Row],[Preferred Mentor Selected On]],2)+1)</f>
        <v>45999</v>
      </c>
      <c r="AI78" s="40">
        <f>IF(ISBLANK(SessionTracker[[#This Row],[Meeting Date]]),"",SessionTracker[[#This Row],[Meeting Date]]-WEEKDAY(SessionTracker[[#This Row],[Meeting Date]],2)+1)</f>
        <v>46034</v>
      </c>
    </row>
    <row r="79" spans="1:35" ht="19.2" customHeight="1" x14ac:dyDescent="0.3">
      <c r="A79" s="24" t="s">
        <v>414</v>
      </c>
      <c r="B79" s="6" t="s">
        <v>399</v>
      </c>
      <c r="C79" s="7" t="s">
        <v>40</v>
      </c>
      <c r="D79" s="8" t="s">
        <v>41</v>
      </c>
      <c r="E79" s="8" t="s">
        <v>243</v>
      </c>
      <c r="F79" s="7" t="s">
        <v>415</v>
      </c>
      <c r="G79" s="9" t="s">
        <v>43</v>
      </c>
      <c r="H79" s="5">
        <v>45992</v>
      </c>
      <c r="I79" s="5">
        <v>46000</v>
      </c>
      <c r="J79" s="5">
        <v>46000</v>
      </c>
      <c r="K79" s="5">
        <v>46004</v>
      </c>
      <c r="L79" s="23">
        <v>46073</v>
      </c>
      <c r="M79" s="27"/>
      <c r="N79" s="27"/>
      <c r="O79" s="10" t="s">
        <v>44</v>
      </c>
      <c r="P79" s="30"/>
      <c r="Q79" s="38" t="s">
        <v>416</v>
      </c>
      <c r="R79" s="38" t="s">
        <v>417</v>
      </c>
      <c r="S79" s="30" t="s">
        <v>418</v>
      </c>
      <c r="T79" s="35" t="s">
        <v>419</v>
      </c>
      <c r="U79" s="30"/>
      <c r="V79" s="9"/>
      <c r="W79" s="27"/>
      <c r="X79" s="27"/>
      <c r="Y79" s="27"/>
      <c r="Z79" s="27"/>
      <c r="AA79" s="27"/>
      <c r="AB79" s="27"/>
      <c r="AC79" s="9" t="s">
        <v>49</v>
      </c>
      <c r="AD79" s="27" t="s">
        <v>50</v>
      </c>
      <c r="AE79" s="28">
        <v>115065626399</v>
      </c>
      <c r="AF79" s="27" t="s">
        <v>51</v>
      </c>
      <c r="AG79" s="27">
        <v>0</v>
      </c>
      <c r="AH79" s="41">
        <f>IF(ISBLANK(SessionTracker[[#This Row],[Preferred Mentor Selected On]]),"",SessionTracker[[#This Row],[Preferred Mentor Selected On]]-WEEKDAY(SessionTracker[[#This Row],[Preferred Mentor Selected On]],2)+1)</f>
        <v>45999</v>
      </c>
      <c r="AI79" s="40">
        <f>IF(ISBLANK(SessionTracker[[#This Row],[Meeting Date]]),"",SessionTracker[[#This Row],[Meeting Date]]-WEEKDAY(SessionTracker[[#This Row],[Meeting Date]],2)+1)</f>
        <v>46069</v>
      </c>
    </row>
    <row r="80" spans="1:35" ht="19.2" customHeight="1" x14ac:dyDescent="0.3">
      <c r="A80" s="24" t="s">
        <v>420</v>
      </c>
      <c r="B80" s="6" t="s">
        <v>421</v>
      </c>
      <c r="C80" s="7" t="s">
        <v>84</v>
      </c>
      <c r="D80" s="8" t="s">
        <v>74</v>
      </c>
      <c r="E80" s="8" t="s">
        <v>146</v>
      </c>
      <c r="F80" s="7" t="s">
        <v>422</v>
      </c>
      <c r="G80" s="9" t="s">
        <v>43</v>
      </c>
      <c r="H80" s="5">
        <v>45995</v>
      </c>
      <c r="I80" s="5">
        <v>46003</v>
      </c>
      <c r="J80" s="5">
        <v>46003</v>
      </c>
      <c r="K80" s="5">
        <v>46031</v>
      </c>
      <c r="L80" s="23">
        <v>46043</v>
      </c>
      <c r="M80" s="27"/>
      <c r="N80" s="27"/>
      <c r="O80" s="10" t="s">
        <v>44</v>
      </c>
      <c r="P80" s="30"/>
      <c r="Q80" s="38" t="s">
        <v>423</v>
      </c>
      <c r="R80" s="35" t="s">
        <v>424</v>
      </c>
      <c r="S80" s="30" t="s">
        <v>425</v>
      </c>
      <c r="T80" s="35" t="s">
        <v>426</v>
      </c>
      <c r="U80" s="30"/>
      <c r="V80" s="9"/>
      <c r="W80" s="27"/>
      <c r="X80" s="27"/>
      <c r="Y80" s="27"/>
      <c r="Z80" s="27"/>
      <c r="AA80" s="27"/>
      <c r="AB80" s="27"/>
      <c r="AC80" s="9" t="s">
        <v>49</v>
      </c>
      <c r="AD80" s="27" t="s">
        <v>90</v>
      </c>
      <c r="AE80" s="28">
        <v>0</v>
      </c>
      <c r="AF80" s="27" t="s">
        <v>427</v>
      </c>
      <c r="AG80" s="27" t="s">
        <v>428</v>
      </c>
      <c r="AH80" s="41">
        <f>IF(ISBLANK(SessionTracker[[#This Row],[Preferred Mentor Selected On]]),"",SessionTracker[[#This Row],[Preferred Mentor Selected On]]-WEEKDAY(SessionTracker[[#This Row],[Preferred Mentor Selected On]],2)+1)</f>
        <v>46027</v>
      </c>
      <c r="AI80" s="40">
        <f>IF(ISBLANK(SessionTracker[[#This Row],[Meeting Date]]),"",SessionTracker[[#This Row],[Meeting Date]]-WEEKDAY(SessionTracker[[#This Row],[Meeting Date]],2)+1)</f>
        <v>46041</v>
      </c>
    </row>
    <row r="81" spans="1:35" ht="19.2" customHeight="1" x14ac:dyDescent="0.3">
      <c r="A81" s="24" t="s">
        <v>429</v>
      </c>
      <c r="B81" s="6" t="s">
        <v>430</v>
      </c>
      <c r="C81" s="7" t="s">
        <v>84</v>
      </c>
      <c r="D81" s="8" t="s">
        <v>41</v>
      </c>
      <c r="E81" s="8" t="s">
        <v>108</v>
      </c>
      <c r="F81" s="7"/>
      <c r="G81" s="9" t="s">
        <v>43</v>
      </c>
      <c r="H81" s="5">
        <v>45995</v>
      </c>
      <c r="I81" s="5"/>
      <c r="J81" s="5"/>
      <c r="K81" s="5">
        <v>45995</v>
      </c>
      <c r="L81" s="23">
        <v>46009</v>
      </c>
      <c r="M81" s="27"/>
      <c r="N81" s="27"/>
      <c r="O81" s="10" t="s">
        <v>44</v>
      </c>
      <c r="P81" s="30"/>
      <c r="Q81" s="30"/>
      <c r="R81" s="30"/>
      <c r="S81" s="30" t="s">
        <v>431</v>
      </c>
      <c r="T81" s="30" t="s">
        <v>432</v>
      </c>
      <c r="U81" s="30"/>
      <c r="V81" s="9"/>
      <c r="W81" s="27"/>
      <c r="X81" s="27"/>
      <c r="Y81" s="27"/>
      <c r="Z81" s="27"/>
      <c r="AA81" s="27"/>
      <c r="AB81" s="27"/>
      <c r="AC81" s="9" t="s">
        <v>49</v>
      </c>
      <c r="AD81" s="27" t="s">
        <v>90</v>
      </c>
      <c r="AE81" s="28">
        <v>115008303612</v>
      </c>
      <c r="AF81" s="27" t="s">
        <v>51</v>
      </c>
      <c r="AG81" s="27">
        <v>0</v>
      </c>
      <c r="AH81" s="41">
        <f>IF(ISBLANK(SessionTracker[[#This Row],[Preferred Mentor Selected On]]),"",SessionTracker[[#This Row],[Preferred Mentor Selected On]]-WEEKDAY(SessionTracker[[#This Row],[Preferred Mentor Selected On]],2)+1)</f>
        <v>45992</v>
      </c>
      <c r="AI81" s="40">
        <f>IF(ISBLANK(SessionTracker[[#This Row],[Meeting Date]]),"",SessionTracker[[#This Row],[Meeting Date]]-WEEKDAY(SessionTracker[[#This Row],[Meeting Date]],2)+1)</f>
        <v>46006</v>
      </c>
    </row>
    <row r="82" spans="1:35" ht="19.2" customHeight="1" x14ac:dyDescent="0.3">
      <c r="A82" s="24" t="s">
        <v>433</v>
      </c>
      <c r="B82" s="6" t="s">
        <v>434</v>
      </c>
      <c r="C82" s="7" t="s">
        <v>84</v>
      </c>
      <c r="D82" s="8" t="s">
        <v>74</v>
      </c>
      <c r="E82" s="8" t="s">
        <v>435</v>
      </c>
      <c r="F82" s="7" t="s">
        <v>436</v>
      </c>
      <c r="G82" s="9" t="s">
        <v>43</v>
      </c>
      <c r="H82" s="5">
        <v>45995</v>
      </c>
      <c r="I82" s="5"/>
      <c r="J82" s="5"/>
      <c r="K82" s="5">
        <v>46013</v>
      </c>
      <c r="L82" s="23">
        <v>46041</v>
      </c>
      <c r="M82" s="27"/>
      <c r="N82" s="27"/>
      <c r="O82" s="10" t="s">
        <v>44</v>
      </c>
      <c r="P82" s="30"/>
      <c r="Q82" s="38" t="s">
        <v>437</v>
      </c>
      <c r="R82" s="38" t="s">
        <v>438</v>
      </c>
      <c r="S82" s="30" t="s">
        <v>439</v>
      </c>
      <c r="T82" s="35" t="s">
        <v>440</v>
      </c>
      <c r="U82" s="30"/>
      <c r="V82" s="9"/>
      <c r="W82" s="27"/>
      <c r="X82" s="27"/>
      <c r="Y82" s="27"/>
      <c r="Z82" s="27"/>
      <c r="AA82" s="27"/>
      <c r="AB82" s="27"/>
      <c r="AC82" s="9" t="s">
        <v>49</v>
      </c>
      <c r="AD82" s="27" t="s">
        <v>90</v>
      </c>
      <c r="AE82" s="28">
        <v>0</v>
      </c>
      <c r="AF82" s="27" t="s">
        <v>156</v>
      </c>
      <c r="AG82" s="27" t="s">
        <v>441</v>
      </c>
      <c r="AH82" s="41">
        <f>IF(ISBLANK(SessionTracker[[#This Row],[Preferred Mentor Selected On]]),"",SessionTracker[[#This Row],[Preferred Mentor Selected On]]-WEEKDAY(SessionTracker[[#This Row],[Preferred Mentor Selected On]],2)+1)</f>
        <v>46013</v>
      </c>
      <c r="AI82" s="40">
        <f>IF(ISBLANK(SessionTracker[[#This Row],[Meeting Date]]),"",SessionTracker[[#This Row],[Meeting Date]]-WEEKDAY(SessionTracker[[#This Row],[Meeting Date]],2)+1)</f>
        <v>46041</v>
      </c>
    </row>
    <row r="83" spans="1:35" ht="19.2" customHeight="1" x14ac:dyDescent="0.3">
      <c r="A83" s="24" t="s">
        <v>442</v>
      </c>
      <c r="B83" s="6" t="s">
        <v>443</v>
      </c>
      <c r="C83" s="7" t="s">
        <v>84</v>
      </c>
      <c r="D83" s="8" t="s">
        <v>74</v>
      </c>
      <c r="E83" s="8" t="s">
        <v>444</v>
      </c>
      <c r="F83" s="7" t="s">
        <v>445</v>
      </c>
      <c r="G83" s="9" t="s">
        <v>43</v>
      </c>
      <c r="H83" s="5">
        <v>46000</v>
      </c>
      <c r="I83" s="5"/>
      <c r="J83" s="5"/>
      <c r="K83" s="5">
        <v>46055</v>
      </c>
      <c r="L83" s="23">
        <v>46058</v>
      </c>
      <c r="M83" s="27"/>
      <c r="N83" s="27"/>
      <c r="O83" s="10" t="s">
        <v>44</v>
      </c>
      <c r="P83" s="30"/>
      <c r="Q83" s="38" t="s">
        <v>446</v>
      </c>
      <c r="R83" s="38" t="s">
        <v>447</v>
      </c>
      <c r="S83" s="30" t="s">
        <v>448</v>
      </c>
      <c r="T83" s="35" t="s">
        <v>449</v>
      </c>
      <c r="U83" s="30"/>
      <c r="V83" s="9"/>
      <c r="W83" s="27"/>
      <c r="X83" s="27"/>
      <c r="Y83" s="27"/>
      <c r="Z83" s="27"/>
      <c r="AA83" s="27"/>
      <c r="AB83" s="27"/>
      <c r="AC83" s="9" t="s">
        <v>49</v>
      </c>
      <c r="AD83" s="27" t="s">
        <v>90</v>
      </c>
      <c r="AE83" s="28">
        <v>115042911097</v>
      </c>
      <c r="AF83" s="27" t="s">
        <v>51</v>
      </c>
      <c r="AG83" s="27" t="s">
        <v>305</v>
      </c>
      <c r="AH83" s="41">
        <f>IF(ISBLANK(SessionTracker[[#This Row],[Preferred Mentor Selected On]]),"",SessionTracker[[#This Row],[Preferred Mentor Selected On]]-WEEKDAY(SessionTracker[[#This Row],[Preferred Mentor Selected On]],2)+1)</f>
        <v>46055</v>
      </c>
      <c r="AI83" s="40">
        <f>IF(ISBLANK(SessionTracker[[#This Row],[Meeting Date]]),"",SessionTracker[[#This Row],[Meeting Date]]-WEEKDAY(SessionTracker[[#This Row],[Meeting Date]],2)+1)</f>
        <v>46055</v>
      </c>
    </row>
    <row r="84" spans="1:35" ht="19.2" customHeight="1" x14ac:dyDescent="0.3">
      <c r="A84" s="24" t="s">
        <v>450</v>
      </c>
      <c r="B84" s="6" t="s">
        <v>451</v>
      </c>
      <c r="C84" s="7" t="s">
        <v>84</v>
      </c>
      <c r="D84" s="8" t="s">
        <v>41</v>
      </c>
      <c r="E84" s="8" t="s">
        <v>452</v>
      </c>
      <c r="F84" s="7" t="s">
        <v>453</v>
      </c>
      <c r="G84" s="9" t="s">
        <v>43</v>
      </c>
      <c r="H84" s="5">
        <v>46002</v>
      </c>
      <c r="I84" s="5">
        <v>46007</v>
      </c>
      <c r="J84" s="5">
        <v>46007</v>
      </c>
      <c r="K84" s="5">
        <v>46046</v>
      </c>
      <c r="L84" s="23">
        <v>46049</v>
      </c>
      <c r="M84" s="27"/>
      <c r="N84" s="27"/>
      <c r="O84" s="10" t="s">
        <v>44</v>
      </c>
      <c r="P84" s="30"/>
      <c r="Q84" s="38" t="s">
        <v>454</v>
      </c>
      <c r="R84" s="38" t="s">
        <v>455</v>
      </c>
      <c r="S84" s="30" t="s">
        <v>456</v>
      </c>
      <c r="T84" s="35" t="s">
        <v>457</v>
      </c>
      <c r="U84" s="30"/>
      <c r="V84" s="9"/>
      <c r="W84" s="27"/>
      <c r="X84" s="27"/>
      <c r="Y84" s="27"/>
      <c r="Z84" s="27"/>
      <c r="AA84" s="27"/>
      <c r="AB84" s="27"/>
      <c r="AC84" s="9" t="s">
        <v>49</v>
      </c>
      <c r="AD84" s="27" t="s">
        <v>50</v>
      </c>
      <c r="AE84" s="28">
        <v>115056971880</v>
      </c>
      <c r="AF84" s="27" t="s">
        <v>51</v>
      </c>
      <c r="AG84" s="27" t="s">
        <v>458</v>
      </c>
      <c r="AH84" s="41">
        <f>IF(ISBLANK(SessionTracker[[#This Row],[Preferred Mentor Selected On]]),"",SessionTracker[[#This Row],[Preferred Mentor Selected On]]-WEEKDAY(SessionTracker[[#This Row],[Preferred Mentor Selected On]],2)+1)</f>
        <v>46041</v>
      </c>
      <c r="AI84" s="40">
        <f>IF(ISBLANK(SessionTracker[[#This Row],[Meeting Date]]),"",SessionTracker[[#This Row],[Meeting Date]]-WEEKDAY(SessionTracker[[#This Row],[Meeting Date]],2)+1)</f>
        <v>46048</v>
      </c>
    </row>
    <row r="85" spans="1:35" ht="19.2" customHeight="1" x14ac:dyDescent="0.3">
      <c r="A85" s="24" t="s">
        <v>459</v>
      </c>
      <c r="B85" s="6" t="s">
        <v>460</v>
      </c>
      <c r="C85" s="7" t="s">
        <v>461</v>
      </c>
      <c r="D85" s="8" t="s">
        <v>41</v>
      </c>
      <c r="E85" s="8" t="s">
        <v>255</v>
      </c>
      <c r="F85" s="7"/>
      <c r="G85" s="9" t="s">
        <v>43</v>
      </c>
      <c r="H85" s="5">
        <v>46003</v>
      </c>
      <c r="I85" s="5">
        <v>45925</v>
      </c>
      <c r="J85" s="5">
        <v>45925</v>
      </c>
      <c r="K85" s="5">
        <v>46018</v>
      </c>
      <c r="L85" s="23">
        <v>46021</v>
      </c>
      <c r="M85" s="27"/>
      <c r="N85" s="27"/>
      <c r="O85" s="10" t="s">
        <v>44</v>
      </c>
      <c r="P85" s="30"/>
      <c r="Q85" s="30"/>
      <c r="R85" s="30"/>
      <c r="S85" s="30" t="s">
        <v>462</v>
      </c>
      <c r="T85" s="30" t="s">
        <v>463</v>
      </c>
      <c r="U85" s="30"/>
      <c r="V85" s="9"/>
      <c r="W85" s="27"/>
      <c r="X85" s="27"/>
      <c r="Y85" s="27"/>
      <c r="Z85" s="27"/>
      <c r="AA85" s="27"/>
      <c r="AB85" s="27"/>
      <c r="AC85" s="9" t="s">
        <v>49</v>
      </c>
      <c r="AD85" s="27" t="s">
        <v>50</v>
      </c>
      <c r="AE85" s="28">
        <v>115013186956</v>
      </c>
      <c r="AF85" s="27" t="s">
        <v>51</v>
      </c>
      <c r="AG85" s="27" t="s">
        <v>464</v>
      </c>
      <c r="AH85" s="41">
        <f>IF(ISBLANK(SessionTracker[[#This Row],[Preferred Mentor Selected On]]),"",SessionTracker[[#This Row],[Preferred Mentor Selected On]]-WEEKDAY(SessionTracker[[#This Row],[Preferred Mentor Selected On]],2)+1)</f>
        <v>46013</v>
      </c>
      <c r="AI85" s="40">
        <f>IF(ISBLANK(SessionTracker[[#This Row],[Meeting Date]]),"",SessionTracker[[#This Row],[Meeting Date]]-WEEKDAY(SessionTracker[[#This Row],[Meeting Date]],2)+1)</f>
        <v>46020</v>
      </c>
    </row>
    <row r="86" spans="1:35" ht="19.2" customHeight="1" x14ac:dyDescent="0.3">
      <c r="A86" s="24" t="s">
        <v>465</v>
      </c>
      <c r="B86" s="6" t="s">
        <v>466</v>
      </c>
      <c r="C86" s="7" t="s">
        <v>84</v>
      </c>
      <c r="D86" s="8" t="s">
        <v>74</v>
      </c>
      <c r="E86" s="8" t="s">
        <v>125</v>
      </c>
      <c r="F86" s="7"/>
      <c r="G86" s="9" t="s">
        <v>43</v>
      </c>
      <c r="H86" s="5">
        <v>46003</v>
      </c>
      <c r="I86" s="5"/>
      <c r="J86" s="5"/>
      <c r="K86" s="5">
        <v>46000</v>
      </c>
      <c r="L86" s="23">
        <v>46046</v>
      </c>
      <c r="M86" s="27"/>
      <c r="N86" s="27"/>
      <c r="O86" s="10" t="s">
        <v>44</v>
      </c>
      <c r="P86" s="30"/>
      <c r="Q86" s="38" t="s">
        <v>467</v>
      </c>
      <c r="R86" s="30"/>
      <c r="S86" s="30" t="s">
        <v>468</v>
      </c>
      <c r="T86" s="35" t="s">
        <v>469</v>
      </c>
      <c r="U86" s="30"/>
      <c r="V86" s="9"/>
      <c r="W86" s="27"/>
      <c r="X86" s="27"/>
      <c r="Y86" s="27"/>
      <c r="Z86" s="27"/>
      <c r="AA86" s="27"/>
      <c r="AB86" s="27"/>
      <c r="AC86" s="9" t="s">
        <v>60</v>
      </c>
      <c r="AD86" s="27" t="s">
        <v>90</v>
      </c>
      <c r="AE86" s="28">
        <v>115029706380</v>
      </c>
      <c r="AF86" s="27" t="s">
        <v>51</v>
      </c>
      <c r="AG86" s="27" t="s">
        <v>470</v>
      </c>
      <c r="AH86" s="41">
        <f>IF(ISBLANK(SessionTracker[[#This Row],[Preferred Mentor Selected On]]),"",SessionTracker[[#This Row],[Preferred Mentor Selected On]]-WEEKDAY(SessionTracker[[#This Row],[Preferred Mentor Selected On]],2)+1)</f>
        <v>45999</v>
      </c>
      <c r="AI86" s="40">
        <f>IF(ISBLANK(SessionTracker[[#This Row],[Meeting Date]]),"",SessionTracker[[#This Row],[Meeting Date]]-WEEKDAY(SessionTracker[[#This Row],[Meeting Date]],2)+1)</f>
        <v>46041</v>
      </c>
    </row>
    <row r="87" spans="1:35" ht="19.2" customHeight="1" x14ac:dyDescent="0.3">
      <c r="A87" s="24" t="s">
        <v>471</v>
      </c>
      <c r="B87" s="6" t="s">
        <v>472</v>
      </c>
      <c r="C87" s="7" t="s">
        <v>40</v>
      </c>
      <c r="D87" s="8" t="s">
        <v>41</v>
      </c>
      <c r="E87" s="8" t="s">
        <v>281</v>
      </c>
      <c r="F87" s="7" t="s">
        <v>473</v>
      </c>
      <c r="G87" s="9" t="s">
        <v>43</v>
      </c>
      <c r="H87" s="5">
        <v>46003</v>
      </c>
      <c r="I87" s="5">
        <v>46003</v>
      </c>
      <c r="J87" s="5">
        <v>46003</v>
      </c>
      <c r="K87" s="5">
        <v>46065</v>
      </c>
      <c r="L87" s="23">
        <v>46122</v>
      </c>
      <c r="M87" s="27"/>
      <c r="N87" s="27"/>
      <c r="O87" s="10" t="s">
        <v>44</v>
      </c>
      <c r="P87" s="30"/>
      <c r="Q87" s="35" t="s">
        <v>474</v>
      </c>
      <c r="R87" s="35" t="s">
        <v>475</v>
      </c>
      <c r="S87" s="30" t="s">
        <v>476</v>
      </c>
      <c r="T87" s="30" t="s">
        <v>477</v>
      </c>
      <c r="U87" s="30"/>
      <c r="V87" s="9"/>
      <c r="W87" s="27"/>
      <c r="X87" s="27"/>
      <c r="Y87" s="27"/>
      <c r="Z87" s="27"/>
      <c r="AA87" s="27"/>
      <c r="AB87" s="27"/>
      <c r="AC87" s="9" t="s">
        <v>49</v>
      </c>
      <c r="AD87" s="27" t="s">
        <v>50</v>
      </c>
      <c r="AE87" s="28">
        <v>0</v>
      </c>
      <c r="AF87" s="27" t="s">
        <v>317</v>
      </c>
      <c r="AG87" s="27" t="s">
        <v>478</v>
      </c>
      <c r="AH87" s="41">
        <f>IF(ISBLANK(SessionTracker[[#This Row],[Preferred Mentor Selected On]]),"",SessionTracker[[#This Row],[Preferred Mentor Selected On]]-WEEKDAY(SessionTracker[[#This Row],[Preferred Mentor Selected On]],2)+1)</f>
        <v>46062</v>
      </c>
      <c r="AI87" s="40">
        <f>IF(ISBLANK(SessionTracker[[#This Row],[Meeting Date]]),"",SessionTracker[[#This Row],[Meeting Date]]-WEEKDAY(SessionTracker[[#This Row],[Meeting Date]],2)+1)</f>
        <v>46118</v>
      </c>
    </row>
    <row r="88" spans="1:35" ht="19.2" customHeight="1" x14ac:dyDescent="0.3">
      <c r="A88" s="24" t="s">
        <v>479</v>
      </c>
      <c r="B88" s="6" t="s">
        <v>466</v>
      </c>
      <c r="C88" s="7" t="s">
        <v>84</v>
      </c>
      <c r="D88" s="8" t="s">
        <v>74</v>
      </c>
      <c r="E88" s="8" t="s">
        <v>93</v>
      </c>
      <c r="F88" s="7"/>
      <c r="G88" s="9" t="s">
        <v>43</v>
      </c>
      <c r="H88" s="5">
        <v>46003</v>
      </c>
      <c r="I88" s="5"/>
      <c r="J88" s="5"/>
      <c r="K88" s="5">
        <v>46000</v>
      </c>
      <c r="L88" s="23">
        <v>46014</v>
      </c>
      <c r="M88" s="27"/>
      <c r="N88" s="27"/>
      <c r="O88" s="10" t="s">
        <v>44</v>
      </c>
      <c r="P88" s="30"/>
      <c r="Q88" s="30"/>
      <c r="R88" s="30"/>
      <c r="S88" s="30" t="s">
        <v>480</v>
      </c>
      <c r="T88" s="30" t="s">
        <v>481</v>
      </c>
      <c r="U88" s="30"/>
      <c r="V88" s="9"/>
      <c r="W88" s="27"/>
      <c r="X88" s="27"/>
      <c r="Y88" s="27"/>
      <c r="Z88" s="27"/>
      <c r="AA88" s="27"/>
      <c r="AB88" s="27"/>
      <c r="AC88" s="9" t="s">
        <v>49</v>
      </c>
      <c r="AD88" s="27" t="s">
        <v>90</v>
      </c>
      <c r="AE88" s="28">
        <v>115012177987</v>
      </c>
      <c r="AF88" s="27" t="s">
        <v>51</v>
      </c>
      <c r="AG88" s="27" t="s">
        <v>184</v>
      </c>
      <c r="AH88" s="41">
        <f>IF(ISBLANK(SessionTracker[[#This Row],[Preferred Mentor Selected On]]),"",SessionTracker[[#This Row],[Preferred Mentor Selected On]]-WEEKDAY(SessionTracker[[#This Row],[Preferred Mentor Selected On]],2)+1)</f>
        <v>45999</v>
      </c>
      <c r="AI88" s="40">
        <f>IF(ISBLANK(SessionTracker[[#This Row],[Meeting Date]]),"",SessionTracker[[#This Row],[Meeting Date]]-WEEKDAY(SessionTracker[[#This Row],[Meeting Date]],2)+1)</f>
        <v>46013</v>
      </c>
    </row>
    <row r="89" spans="1:35" ht="19.2" customHeight="1" x14ac:dyDescent="0.3">
      <c r="A89" s="24" t="s">
        <v>482</v>
      </c>
      <c r="B89" s="6" t="s">
        <v>483</v>
      </c>
      <c r="C89" s="7" t="s">
        <v>84</v>
      </c>
      <c r="D89" s="8" t="s">
        <v>41</v>
      </c>
      <c r="E89" s="8" t="s">
        <v>484</v>
      </c>
      <c r="F89" s="7" t="s">
        <v>485</v>
      </c>
      <c r="G89" s="9" t="s">
        <v>43</v>
      </c>
      <c r="H89" s="5">
        <v>46003</v>
      </c>
      <c r="I89" s="5"/>
      <c r="J89" s="5"/>
      <c r="K89" s="5">
        <v>46021</v>
      </c>
      <c r="L89" s="23">
        <v>46024</v>
      </c>
      <c r="M89" s="27"/>
      <c r="N89" s="27"/>
      <c r="O89" s="10" t="s">
        <v>44</v>
      </c>
      <c r="P89" s="30"/>
      <c r="Q89" s="38" t="s">
        <v>486</v>
      </c>
      <c r="R89" s="35" t="s">
        <v>487</v>
      </c>
      <c r="S89" s="30" t="s">
        <v>488</v>
      </c>
      <c r="T89" s="35" t="s">
        <v>489</v>
      </c>
      <c r="U89" s="30"/>
      <c r="V89" s="9"/>
      <c r="W89" s="27"/>
      <c r="X89" s="27"/>
      <c r="Y89" s="27"/>
      <c r="Z89" s="27"/>
      <c r="AA89" s="27"/>
      <c r="AB89" s="27"/>
      <c r="AC89" s="9" t="s">
        <v>49</v>
      </c>
      <c r="AD89" s="27" t="s">
        <v>50</v>
      </c>
      <c r="AE89" s="28">
        <v>0</v>
      </c>
      <c r="AF89" s="27" t="s">
        <v>156</v>
      </c>
      <c r="AG89" s="27" t="s">
        <v>490</v>
      </c>
      <c r="AH89" s="41">
        <f>IF(ISBLANK(SessionTracker[[#This Row],[Preferred Mentor Selected On]]),"",SessionTracker[[#This Row],[Preferred Mentor Selected On]]-WEEKDAY(SessionTracker[[#This Row],[Preferred Mentor Selected On]],2)+1)</f>
        <v>46020</v>
      </c>
      <c r="AI89" s="40">
        <f>IF(ISBLANK(SessionTracker[[#This Row],[Meeting Date]]),"",SessionTracker[[#This Row],[Meeting Date]]-WEEKDAY(SessionTracker[[#This Row],[Meeting Date]],2)+1)</f>
        <v>46020</v>
      </c>
    </row>
    <row r="90" spans="1:35" ht="19.2" customHeight="1" x14ac:dyDescent="0.3">
      <c r="A90" s="24" t="s">
        <v>491</v>
      </c>
      <c r="B90" s="6" t="s">
        <v>492</v>
      </c>
      <c r="C90" s="7" t="s">
        <v>40</v>
      </c>
      <c r="D90" s="8" t="s">
        <v>74</v>
      </c>
      <c r="E90" s="8" t="s">
        <v>371</v>
      </c>
      <c r="F90" s="7"/>
      <c r="G90" s="9" t="s">
        <v>43</v>
      </c>
      <c r="H90" s="5">
        <v>46009</v>
      </c>
      <c r="I90" s="5">
        <v>46014</v>
      </c>
      <c r="J90" s="5">
        <v>46014</v>
      </c>
      <c r="K90" s="5">
        <v>46041</v>
      </c>
      <c r="L90" s="23">
        <v>46071</v>
      </c>
      <c r="M90" s="27"/>
      <c r="N90" s="27"/>
      <c r="O90" s="10" t="s">
        <v>44</v>
      </c>
      <c r="P90" s="30"/>
      <c r="Q90" s="30"/>
      <c r="R90" s="30"/>
      <c r="S90" s="30" t="s">
        <v>372</v>
      </c>
      <c r="T90" s="30" t="s">
        <v>372</v>
      </c>
      <c r="U90" s="30"/>
      <c r="V90" s="9"/>
      <c r="W90" s="27"/>
      <c r="X90" s="27"/>
      <c r="Y90" s="27"/>
      <c r="Z90" s="27"/>
      <c r="AA90" s="27"/>
      <c r="AB90" s="27"/>
      <c r="AC90" s="9" t="s">
        <v>60</v>
      </c>
      <c r="AD90" s="27">
        <v>0</v>
      </c>
      <c r="AE90" s="28">
        <v>0</v>
      </c>
      <c r="AF90" s="27" t="s">
        <v>317</v>
      </c>
      <c r="AG90" s="27" t="s">
        <v>392</v>
      </c>
      <c r="AH90" s="41">
        <f>IF(ISBLANK(SessionTracker[[#This Row],[Preferred Mentor Selected On]]),"",SessionTracker[[#This Row],[Preferred Mentor Selected On]]-WEEKDAY(SessionTracker[[#This Row],[Preferred Mentor Selected On]],2)+1)</f>
        <v>46041</v>
      </c>
      <c r="AI90" s="40">
        <f>IF(ISBLANK(SessionTracker[[#This Row],[Meeting Date]]),"",SessionTracker[[#This Row],[Meeting Date]]-WEEKDAY(SessionTracker[[#This Row],[Meeting Date]],2)+1)</f>
        <v>46069</v>
      </c>
    </row>
    <row r="91" spans="1:35" ht="19.2" customHeight="1" x14ac:dyDescent="0.3">
      <c r="A91" s="24" t="s">
        <v>493</v>
      </c>
      <c r="B91" s="6" t="s">
        <v>492</v>
      </c>
      <c r="C91" s="7" t="s">
        <v>40</v>
      </c>
      <c r="D91" s="8" t="s">
        <v>74</v>
      </c>
      <c r="E91" s="8" t="s">
        <v>494</v>
      </c>
      <c r="F91" s="7" t="s">
        <v>495</v>
      </c>
      <c r="G91" s="9" t="s">
        <v>43</v>
      </c>
      <c r="H91" s="5">
        <v>46009</v>
      </c>
      <c r="I91" s="5">
        <v>46014</v>
      </c>
      <c r="J91" s="5">
        <v>46014</v>
      </c>
      <c r="K91" s="5">
        <v>46041</v>
      </c>
      <c r="L91" s="23">
        <v>46071</v>
      </c>
      <c r="M91" s="27"/>
      <c r="N91" s="27"/>
      <c r="O91" s="10" t="s">
        <v>44</v>
      </c>
      <c r="P91" s="30"/>
      <c r="Q91" s="38" t="s">
        <v>496</v>
      </c>
      <c r="R91" s="38" t="s">
        <v>497</v>
      </c>
      <c r="S91" s="30" t="s">
        <v>498</v>
      </c>
      <c r="T91" s="35" t="s">
        <v>499</v>
      </c>
      <c r="U91" s="30"/>
      <c r="V91" s="9"/>
      <c r="W91" s="27"/>
      <c r="X91" s="27"/>
      <c r="Y91" s="27"/>
      <c r="Z91" s="27"/>
      <c r="AA91" s="27"/>
      <c r="AB91" s="27"/>
      <c r="AC91" s="9" t="s">
        <v>49</v>
      </c>
      <c r="AD91" s="27" t="s">
        <v>50</v>
      </c>
      <c r="AE91" s="28">
        <v>0</v>
      </c>
      <c r="AF91" s="27" t="s">
        <v>317</v>
      </c>
      <c r="AG91" s="27" t="s">
        <v>500</v>
      </c>
      <c r="AH91" s="41">
        <f>IF(ISBLANK(SessionTracker[[#This Row],[Preferred Mentor Selected On]]),"",SessionTracker[[#This Row],[Preferred Mentor Selected On]]-WEEKDAY(SessionTracker[[#This Row],[Preferred Mentor Selected On]],2)+1)</f>
        <v>46041</v>
      </c>
      <c r="AI91" s="40">
        <f>IF(ISBLANK(SessionTracker[[#This Row],[Meeting Date]]),"",SessionTracker[[#This Row],[Meeting Date]]-WEEKDAY(SessionTracker[[#This Row],[Meeting Date]],2)+1)</f>
        <v>46069</v>
      </c>
    </row>
    <row r="92" spans="1:35" ht="19.2" customHeight="1" x14ac:dyDescent="0.3">
      <c r="A92" s="24" t="s">
        <v>501</v>
      </c>
      <c r="B92" s="6" t="s">
        <v>492</v>
      </c>
      <c r="C92" s="7" t="s">
        <v>40</v>
      </c>
      <c r="D92" s="8" t="s">
        <v>74</v>
      </c>
      <c r="E92" s="8" t="s">
        <v>494</v>
      </c>
      <c r="F92" s="7" t="s">
        <v>495</v>
      </c>
      <c r="G92" s="9" t="s">
        <v>43</v>
      </c>
      <c r="H92" s="5">
        <v>46009</v>
      </c>
      <c r="I92" s="5">
        <v>46014</v>
      </c>
      <c r="J92" s="5">
        <v>46014</v>
      </c>
      <c r="K92" s="5">
        <v>46041</v>
      </c>
      <c r="L92" s="23">
        <v>46076</v>
      </c>
      <c r="M92" s="27"/>
      <c r="N92" s="27"/>
      <c r="O92" s="10" t="s">
        <v>44</v>
      </c>
      <c r="P92" s="30"/>
      <c r="Q92" s="38" t="s">
        <v>502</v>
      </c>
      <c r="R92" s="38" t="s">
        <v>497</v>
      </c>
      <c r="S92" s="30" t="s">
        <v>503</v>
      </c>
      <c r="T92" s="35" t="s">
        <v>504</v>
      </c>
      <c r="U92" s="30"/>
      <c r="V92" s="9"/>
      <c r="W92" s="27"/>
      <c r="X92" s="27"/>
      <c r="Y92" s="27"/>
      <c r="Z92" s="27"/>
      <c r="AA92" s="27"/>
      <c r="AB92" s="27"/>
      <c r="AC92" s="9" t="s">
        <v>49</v>
      </c>
      <c r="AD92" s="27">
        <v>0</v>
      </c>
      <c r="AE92" s="28">
        <v>0</v>
      </c>
      <c r="AF92" s="27" t="s">
        <v>317</v>
      </c>
      <c r="AG92" s="27" t="s">
        <v>392</v>
      </c>
      <c r="AH92" s="41">
        <f>IF(ISBLANK(SessionTracker[[#This Row],[Preferred Mentor Selected On]]),"",SessionTracker[[#This Row],[Preferred Mentor Selected On]]-WEEKDAY(SessionTracker[[#This Row],[Preferred Mentor Selected On]],2)+1)</f>
        <v>46041</v>
      </c>
      <c r="AI92" s="40">
        <f>IF(ISBLANK(SessionTracker[[#This Row],[Meeting Date]]),"",SessionTracker[[#This Row],[Meeting Date]]-WEEKDAY(SessionTracker[[#This Row],[Meeting Date]],2)+1)</f>
        <v>46076</v>
      </c>
    </row>
    <row r="93" spans="1:35" ht="19.2" customHeight="1" x14ac:dyDescent="0.3">
      <c r="A93" s="24" t="s">
        <v>505</v>
      </c>
      <c r="B93" s="6" t="s">
        <v>506</v>
      </c>
      <c r="C93" s="7" t="s">
        <v>84</v>
      </c>
      <c r="D93" s="8" t="s">
        <v>41</v>
      </c>
      <c r="E93" s="8" t="s">
        <v>507</v>
      </c>
      <c r="F93" s="8" t="s">
        <v>508</v>
      </c>
      <c r="G93" s="9" t="s">
        <v>43</v>
      </c>
      <c r="H93" s="5">
        <v>46013</v>
      </c>
      <c r="I93" s="5">
        <v>46014</v>
      </c>
      <c r="J93" s="5">
        <v>46014</v>
      </c>
      <c r="K93" s="5">
        <v>46015</v>
      </c>
      <c r="L93" s="23">
        <v>46027</v>
      </c>
      <c r="M93" s="27"/>
      <c r="N93" s="27"/>
      <c r="O93" s="10" t="s">
        <v>44</v>
      </c>
      <c r="P93" s="30"/>
      <c r="Q93" s="38" t="s">
        <v>509</v>
      </c>
      <c r="R93" s="38" t="s">
        <v>510</v>
      </c>
      <c r="S93" s="30" t="s">
        <v>511</v>
      </c>
      <c r="T93" s="35" t="s">
        <v>512</v>
      </c>
      <c r="U93" s="30"/>
      <c r="V93" s="9"/>
      <c r="W93" s="27"/>
      <c r="X93" s="27"/>
      <c r="Y93" s="27"/>
      <c r="Z93" s="27"/>
      <c r="AA93" s="27"/>
      <c r="AB93" s="27"/>
      <c r="AC93" s="9" t="s">
        <v>49</v>
      </c>
      <c r="AD93" s="27" t="s">
        <v>90</v>
      </c>
      <c r="AE93" s="28">
        <v>115018962266</v>
      </c>
      <c r="AF93" s="27" t="s">
        <v>51</v>
      </c>
      <c r="AG93" s="27" t="s">
        <v>513</v>
      </c>
      <c r="AH93" s="41">
        <f>IF(ISBLANK(SessionTracker[[#This Row],[Preferred Mentor Selected On]]),"",SessionTracker[[#This Row],[Preferred Mentor Selected On]]-WEEKDAY(SessionTracker[[#This Row],[Preferred Mentor Selected On]],2)+1)</f>
        <v>46013</v>
      </c>
      <c r="AI93" s="40">
        <f>IF(ISBLANK(SessionTracker[[#This Row],[Meeting Date]]),"",SessionTracker[[#This Row],[Meeting Date]]-WEEKDAY(SessionTracker[[#This Row],[Meeting Date]],2)+1)</f>
        <v>46027</v>
      </c>
    </row>
    <row r="94" spans="1:35" ht="19.2" customHeight="1" x14ac:dyDescent="0.3">
      <c r="A94" s="24" t="s">
        <v>514</v>
      </c>
      <c r="B94" s="6" t="s">
        <v>515</v>
      </c>
      <c r="C94" s="7" t="s">
        <v>40</v>
      </c>
      <c r="D94" s="8" t="s">
        <v>41</v>
      </c>
      <c r="E94" s="8" t="s">
        <v>516</v>
      </c>
      <c r="F94" s="8" t="s">
        <v>517</v>
      </c>
      <c r="G94" s="9" t="s">
        <v>43</v>
      </c>
      <c r="H94" s="5">
        <v>46015</v>
      </c>
      <c r="I94" s="5">
        <v>46022</v>
      </c>
      <c r="J94" s="5">
        <v>46022</v>
      </c>
      <c r="K94" s="5">
        <v>46035</v>
      </c>
      <c r="L94" s="23">
        <v>46039</v>
      </c>
      <c r="M94" s="27"/>
      <c r="N94" s="27"/>
      <c r="O94" s="10" t="s">
        <v>44</v>
      </c>
      <c r="P94" s="30"/>
      <c r="Q94" s="35" t="s">
        <v>518</v>
      </c>
      <c r="R94" s="37" t="s">
        <v>519</v>
      </c>
      <c r="S94" s="30" t="s">
        <v>520</v>
      </c>
      <c r="T94" s="35" t="s">
        <v>521</v>
      </c>
      <c r="U94" s="30"/>
      <c r="V94" s="9"/>
      <c r="W94" s="27"/>
      <c r="X94" s="27"/>
      <c r="Y94" s="27"/>
      <c r="Z94" s="27"/>
      <c r="AA94" s="27"/>
      <c r="AB94" s="27"/>
      <c r="AC94" s="9" t="s">
        <v>49</v>
      </c>
      <c r="AD94" s="27" t="s">
        <v>50</v>
      </c>
      <c r="AE94" s="28">
        <v>0</v>
      </c>
      <c r="AF94" s="27" t="s">
        <v>156</v>
      </c>
      <c r="AG94" s="27" t="s">
        <v>522</v>
      </c>
      <c r="AH94" s="41">
        <f>IF(ISBLANK(SessionTracker[[#This Row],[Preferred Mentor Selected On]]),"",SessionTracker[[#This Row],[Preferred Mentor Selected On]]-WEEKDAY(SessionTracker[[#This Row],[Preferred Mentor Selected On]],2)+1)</f>
        <v>46034</v>
      </c>
      <c r="AI94" s="40">
        <f>IF(ISBLANK(SessionTracker[[#This Row],[Meeting Date]]),"",SessionTracker[[#This Row],[Meeting Date]]-WEEKDAY(SessionTracker[[#This Row],[Meeting Date]],2)+1)</f>
        <v>46034</v>
      </c>
    </row>
    <row r="95" spans="1:35" ht="19.2" customHeight="1" x14ac:dyDescent="0.3">
      <c r="A95" s="24" t="s">
        <v>523</v>
      </c>
      <c r="B95" s="6" t="s">
        <v>515</v>
      </c>
      <c r="C95" s="7" t="s">
        <v>40</v>
      </c>
      <c r="D95" s="8" t="s">
        <v>41</v>
      </c>
      <c r="E95" s="8" t="s">
        <v>516</v>
      </c>
      <c r="F95" s="8" t="s">
        <v>517</v>
      </c>
      <c r="G95" s="9" t="s">
        <v>43</v>
      </c>
      <c r="H95" s="5">
        <v>46015</v>
      </c>
      <c r="I95" s="5">
        <v>46022</v>
      </c>
      <c r="J95" s="5">
        <v>46022</v>
      </c>
      <c r="K95" s="5">
        <v>46035</v>
      </c>
      <c r="L95" s="23">
        <v>46044</v>
      </c>
      <c r="M95" s="27"/>
      <c r="N95" s="27"/>
      <c r="O95" s="10" t="s">
        <v>44</v>
      </c>
      <c r="P95" s="30"/>
      <c r="Q95" s="38" t="s">
        <v>524</v>
      </c>
      <c r="R95" s="37" t="s">
        <v>519</v>
      </c>
      <c r="S95" s="30" t="s">
        <v>525</v>
      </c>
      <c r="T95" s="35" t="s">
        <v>526</v>
      </c>
      <c r="U95" s="30"/>
      <c r="V95" s="9"/>
      <c r="W95" s="27"/>
      <c r="X95" s="27"/>
      <c r="Y95" s="27"/>
      <c r="Z95" s="27"/>
      <c r="AA95" s="27"/>
      <c r="AB95" s="27"/>
      <c r="AC95" s="9" t="s">
        <v>49</v>
      </c>
      <c r="AD95" s="27" t="s">
        <v>90</v>
      </c>
      <c r="AE95" s="28">
        <v>0</v>
      </c>
      <c r="AF95" s="27" t="s">
        <v>156</v>
      </c>
      <c r="AG95" s="27" t="s">
        <v>527</v>
      </c>
      <c r="AH95" s="41">
        <f>IF(ISBLANK(SessionTracker[[#This Row],[Preferred Mentor Selected On]]),"",SessionTracker[[#This Row],[Preferred Mentor Selected On]]-WEEKDAY(SessionTracker[[#This Row],[Preferred Mentor Selected On]],2)+1)</f>
        <v>46034</v>
      </c>
      <c r="AI95" s="40">
        <f>IF(ISBLANK(SessionTracker[[#This Row],[Meeting Date]]),"",SessionTracker[[#This Row],[Meeting Date]]-WEEKDAY(SessionTracker[[#This Row],[Meeting Date]],2)+1)</f>
        <v>46041</v>
      </c>
    </row>
    <row r="96" spans="1:35" ht="19.2" customHeight="1" x14ac:dyDescent="0.3">
      <c r="A96" s="24" t="s">
        <v>528</v>
      </c>
      <c r="B96" s="6" t="s">
        <v>529</v>
      </c>
      <c r="C96" s="7" t="s">
        <v>40</v>
      </c>
      <c r="D96" s="8" t="s">
        <v>41</v>
      </c>
      <c r="E96" s="8" t="s">
        <v>68</v>
      </c>
      <c r="F96" s="8"/>
      <c r="G96" s="9" t="s">
        <v>43</v>
      </c>
      <c r="H96" s="5">
        <v>46015</v>
      </c>
      <c r="I96" s="5">
        <v>46020</v>
      </c>
      <c r="J96" s="5">
        <v>46020</v>
      </c>
      <c r="K96" s="5">
        <v>46062</v>
      </c>
      <c r="L96" s="23">
        <v>46065</v>
      </c>
      <c r="M96" s="27"/>
      <c r="N96" s="27"/>
      <c r="O96" s="10" t="s">
        <v>44</v>
      </c>
      <c r="P96" s="30"/>
      <c r="Q96" s="35" t="s">
        <v>530</v>
      </c>
      <c r="R96" s="30"/>
      <c r="S96" s="30" t="s">
        <v>531</v>
      </c>
      <c r="T96" s="35" t="s">
        <v>532</v>
      </c>
      <c r="U96" s="30"/>
      <c r="V96" s="9"/>
      <c r="W96" s="27"/>
      <c r="X96" s="27"/>
      <c r="Y96" s="27"/>
      <c r="Z96" s="27"/>
      <c r="AA96" s="27"/>
      <c r="AB96" s="27"/>
      <c r="AC96" s="9" t="s">
        <v>60</v>
      </c>
      <c r="AD96" s="27" t="s">
        <v>50</v>
      </c>
      <c r="AE96" s="28">
        <v>115042914743</v>
      </c>
      <c r="AF96" s="27" t="s">
        <v>51</v>
      </c>
      <c r="AG96" s="27">
        <v>0</v>
      </c>
      <c r="AH96" s="41">
        <f>IF(ISBLANK(SessionTracker[[#This Row],[Preferred Mentor Selected On]]),"",SessionTracker[[#This Row],[Preferred Mentor Selected On]]-WEEKDAY(SessionTracker[[#This Row],[Preferred Mentor Selected On]],2)+1)</f>
        <v>46062</v>
      </c>
      <c r="AI96" s="40">
        <f>IF(ISBLANK(SessionTracker[[#This Row],[Meeting Date]]),"",SessionTracker[[#This Row],[Meeting Date]]-WEEKDAY(SessionTracker[[#This Row],[Meeting Date]],2)+1)</f>
        <v>46062</v>
      </c>
    </row>
    <row r="97" spans="1:35" ht="19.2" customHeight="1" x14ac:dyDescent="0.3">
      <c r="A97" s="24" t="s">
        <v>533</v>
      </c>
      <c r="B97" s="6" t="s">
        <v>534</v>
      </c>
      <c r="C97" s="7" t="s">
        <v>73</v>
      </c>
      <c r="D97" s="8" t="s">
        <v>41</v>
      </c>
      <c r="E97" s="8" t="s">
        <v>190</v>
      </c>
      <c r="F97" s="8"/>
      <c r="G97" s="9" t="s">
        <v>43</v>
      </c>
      <c r="H97" s="5">
        <v>46015</v>
      </c>
      <c r="I97" s="5">
        <v>46034</v>
      </c>
      <c r="J97" s="5">
        <v>46035</v>
      </c>
      <c r="K97" s="5">
        <v>46065</v>
      </c>
      <c r="L97" s="23">
        <v>46079</v>
      </c>
      <c r="M97" s="27"/>
      <c r="N97" s="27"/>
      <c r="O97" s="10" t="s">
        <v>44</v>
      </c>
      <c r="P97" s="30"/>
      <c r="Q97" s="38" t="s">
        <v>535</v>
      </c>
      <c r="R97" s="30"/>
      <c r="S97" s="30" t="s">
        <v>536</v>
      </c>
      <c r="T97" s="35" t="s">
        <v>537</v>
      </c>
      <c r="U97" s="30"/>
      <c r="V97" s="9"/>
      <c r="W97" s="27"/>
      <c r="X97" s="27"/>
      <c r="Y97" s="27"/>
      <c r="Z97" s="27"/>
      <c r="AA97" s="27"/>
      <c r="AB97" s="27"/>
      <c r="AC97" s="9" t="s">
        <v>60</v>
      </c>
      <c r="AD97" s="27" t="s">
        <v>50</v>
      </c>
      <c r="AE97" s="28">
        <v>115056969460</v>
      </c>
      <c r="AF97" s="27" t="s">
        <v>51</v>
      </c>
      <c r="AG97" s="27" t="s">
        <v>538</v>
      </c>
      <c r="AH97" s="41">
        <f>IF(ISBLANK(SessionTracker[[#This Row],[Preferred Mentor Selected On]]),"",SessionTracker[[#This Row],[Preferred Mentor Selected On]]-WEEKDAY(SessionTracker[[#This Row],[Preferred Mentor Selected On]],2)+1)</f>
        <v>46062</v>
      </c>
      <c r="AI97" s="40">
        <f>IF(ISBLANK(SessionTracker[[#This Row],[Meeting Date]]),"",SessionTracker[[#This Row],[Meeting Date]]-WEEKDAY(SessionTracker[[#This Row],[Meeting Date]],2)+1)</f>
        <v>46076</v>
      </c>
    </row>
    <row r="98" spans="1:35" ht="19.2" customHeight="1" x14ac:dyDescent="0.3">
      <c r="A98" s="24" t="s">
        <v>539</v>
      </c>
      <c r="B98" s="6" t="s">
        <v>540</v>
      </c>
      <c r="C98" s="7" t="s">
        <v>40</v>
      </c>
      <c r="D98" s="8" t="s">
        <v>74</v>
      </c>
      <c r="E98" s="8" t="s">
        <v>452</v>
      </c>
      <c r="F98" s="8" t="s">
        <v>541</v>
      </c>
      <c r="G98" s="9" t="s">
        <v>43</v>
      </c>
      <c r="H98" s="5">
        <v>46015</v>
      </c>
      <c r="I98" s="5">
        <v>46022</v>
      </c>
      <c r="J98" s="5">
        <v>46022</v>
      </c>
      <c r="K98" s="5">
        <v>46035</v>
      </c>
      <c r="L98" s="23">
        <v>46038</v>
      </c>
      <c r="M98" s="27"/>
      <c r="N98" s="27"/>
      <c r="O98" s="10" t="s">
        <v>44</v>
      </c>
      <c r="P98" s="30"/>
      <c r="Q98" s="38" t="s">
        <v>542</v>
      </c>
      <c r="R98" s="38" t="s">
        <v>543</v>
      </c>
      <c r="S98" s="30" t="s">
        <v>544</v>
      </c>
      <c r="T98" s="35" t="s">
        <v>545</v>
      </c>
      <c r="U98" s="30"/>
      <c r="V98" s="9"/>
      <c r="W98" s="27"/>
      <c r="X98" s="27"/>
      <c r="Y98" s="27"/>
      <c r="Z98" s="27"/>
      <c r="AA98" s="27"/>
      <c r="AB98" s="27"/>
      <c r="AC98" s="9" t="s">
        <v>49</v>
      </c>
      <c r="AD98" s="27" t="s">
        <v>50</v>
      </c>
      <c r="AE98" s="28">
        <v>115025880088</v>
      </c>
      <c r="AF98" s="27" t="s">
        <v>51</v>
      </c>
      <c r="AG98" s="27" t="s">
        <v>546</v>
      </c>
      <c r="AH98" s="41">
        <f>IF(ISBLANK(SessionTracker[[#This Row],[Preferred Mentor Selected On]]),"",SessionTracker[[#This Row],[Preferred Mentor Selected On]]-WEEKDAY(SessionTracker[[#This Row],[Preferred Mentor Selected On]],2)+1)</f>
        <v>46034</v>
      </c>
      <c r="AI98" s="40">
        <f>IF(ISBLANK(SessionTracker[[#This Row],[Meeting Date]]),"",SessionTracker[[#This Row],[Meeting Date]]-WEEKDAY(SessionTracker[[#This Row],[Meeting Date]],2)+1)</f>
        <v>46034</v>
      </c>
    </row>
    <row r="99" spans="1:35" ht="19.2" customHeight="1" x14ac:dyDescent="0.3">
      <c r="A99" s="24" t="s">
        <v>547</v>
      </c>
      <c r="B99" s="6" t="s">
        <v>548</v>
      </c>
      <c r="C99" s="7" t="s">
        <v>40</v>
      </c>
      <c r="D99" s="8" t="s">
        <v>41</v>
      </c>
      <c r="E99" s="8" t="s">
        <v>435</v>
      </c>
      <c r="F99" s="6" t="s">
        <v>549</v>
      </c>
      <c r="G99" s="9" t="s">
        <v>43</v>
      </c>
      <c r="H99" s="5">
        <v>46015</v>
      </c>
      <c r="I99" s="5">
        <v>46020</v>
      </c>
      <c r="J99" s="5">
        <v>46020</v>
      </c>
      <c r="K99" s="5">
        <v>46041</v>
      </c>
      <c r="L99" s="23">
        <v>46056</v>
      </c>
      <c r="M99" s="27"/>
      <c r="N99" s="27"/>
      <c r="O99" s="10" t="s">
        <v>44</v>
      </c>
      <c r="P99" s="30"/>
      <c r="Q99" s="35" t="s">
        <v>550</v>
      </c>
      <c r="R99" s="38" t="s">
        <v>551</v>
      </c>
      <c r="S99" s="30" t="s">
        <v>552</v>
      </c>
      <c r="T99" s="35" t="s">
        <v>553</v>
      </c>
      <c r="U99" s="30"/>
      <c r="V99" s="9"/>
      <c r="W99" s="27"/>
      <c r="X99" s="27"/>
      <c r="Y99" s="27"/>
      <c r="Z99" s="27"/>
      <c r="AA99" s="27"/>
      <c r="AB99" s="27"/>
      <c r="AC99" s="9" t="s">
        <v>49</v>
      </c>
      <c r="AD99" s="27" t="s">
        <v>50</v>
      </c>
      <c r="AE99" s="28">
        <v>115056188745</v>
      </c>
      <c r="AF99" s="27" t="s">
        <v>51</v>
      </c>
      <c r="AG99" s="27" t="s">
        <v>554</v>
      </c>
      <c r="AH99" s="41">
        <f>IF(ISBLANK(SessionTracker[[#This Row],[Preferred Mentor Selected On]]),"",SessionTracker[[#This Row],[Preferred Mentor Selected On]]-WEEKDAY(SessionTracker[[#This Row],[Preferred Mentor Selected On]],2)+1)</f>
        <v>46041</v>
      </c>
      <c r="AI99" s="40">
        <f>IF(ISBLANK(SessionTracker[[#This Row],[Meeting Date]]),"",SessionTracker[[#This Row],[Meeting Date]]-WEEKDAY(SessionTracker[[#This Row],[Meeting Date]],2)+1)</f>
        <v>46055</v>
      </c>
    </row>
    <row r="100" spans="1:35" ht="19.2" customHeight="1" x14ac:dyDescent="0.3">
      <c r="A100" s="24" t="s">
        <v>555</v>
      </c>
      <c r="B100" s="6" t="s">
        <v>548</v>
      </c>
      <c r="C100" s="7" t="s">
        <v>40</v>
      </c>
      <c r="D100" s="8" t="s">
        <v>41</v>
      </c>
      <c r="E100" s="8" t="s">
        <v>556</v>
      </c>
      <c r="F100" s="6" t="s">
        <v>557</v>
      </c>
      <c r="G100" s="9" t="s">
        <v>43</v>
      </c>
      <c r="H100" s="5">
        <v>46015</v>
      </c>
      <c r="I100" s="5">
        <v>46020</v>
      </c>
      <c r="J100" s="5">
        <v>46020</v>
      </c>
      <c r="K100" s="5">
        <v>46041</v>
      </c>
      <c r="L100" s="23">
        <v>46072</v>
      </c>
      <c r="M100" s="27"/>
      <c r="N100" s="27"/>
      <c r="O100" s="10" t="s">
        <v>44</v>
      </c>
      <c r="P100" s="30"/>
      <c r="Q100" s="30"/>
      <c r="R100" s="38" t="s">
        <v>558</v>
      </c>
      <c r="S100" s="30" t="s">
        <v>372</v>
      </c>
      <c r="T100" s="30" t="s">
        <v>372</v>
      </c>
      <c r="U100" s="30"/>
      <c r="V100" s="9"/>
      <c r="W100" s="27"/>
      <c r="X100" s="27"/>
      <c r="Y100" s="27"/>
      <c r="Z100" s="27"/>
      <c r="AA100" s="27"/>
      <c r="AB100" s="27"/>
      <c r="AC100" s="9" t="s">
        <v>49</v>
      </c>
      <c r="AD100" s="27" t="s">
        <v>90</v>
      </c>
      <c r="AE100" s="28">
        <v>115056185661</v>
      </c>
      <c r="AF100" s="27" t="s">
        <v>51</v>
      </c>
      <c r="AG100" s="27" t="s">
        <v>559</v>
      </c>
      <c r="AH100" s="41">
        <f>IF(ISBLANK(SessionTracker[[#This Row],[Preferred Mentor Selected On]]),"",SessionTracker[[#This Row],[Preferred Mentor Selected On]]-WEEKDAY(SessionTracker[[#This Row],[Preferred Mentor Selected On]],2)+1)</f>
        <v>46041</v>
      </c>
      <c r="AI100" s="40">
        <f>IF(ISBLANK(SessionTracker[[#This Row],[Meeting Date]]),"",SessionTracker[[#This Row],[Meeting Date]]-WEEKDAY(SessionTracker[[#This Row],[Meeting Date]],2)+1)</f>
        <v>46069</v>
      </c>
    </row>
    <row r="101" spans="1:35" ht="19.2" customHeight="1" x14ac:dyDescent="0.3">
      <c r="A101" s="24" t="s">
        <v>560</v>
      </c>
      <c r="B101" s="6" t="s">
        <v>548</v>
      </c>
      <c r="C101" s="7" t="s">
        <v>40</v>
      </c>
      <c r="D101" s="8" t="s">
        <v>41</v>
      </c>
      <c r="E101" s="8" t="s">
        <v>190</v>
      </c>
      <c r="F101" s="6" t="s">
        <v>549</v>
      </c>
      <c r="G101" s="9" t="s">
        <v>43</v>
      </c>
      <c r="H101" s="5">
        <v>46015</v>
      </c>
      <c r="I101" s="5">
        <v>46020</v>
      </c>
      <c r="J101" s="5">
        <v>46020</v>
      </c>
      <c r="K101" s="5">
        <v>46041</v>
      </c>
      <c r="L101" s="23">
        <v>46069</v>
      </c>
      <c r="M101" s="27"/>
      <c r="N101" s="27"/>
      <c r="O101" s="10" t="s">
        <v>44</v>
      </c>
      <c r="P101" s="30"/>
      <c r="Q101" s="38" t="s">
        <v>561</v>
      </c>
      <c r="R101" s="35" t="s">
        <v>562</v>
      </c>
      <c r="S101" s="30" t="s">
        <v>563</v>
      </c>
      <c r="T101" s="35" t="s">
        <v>564</v>
      </c>
      <c r="U101" s="30"/>
      <c r="V101" s="9"/>
      <c r="W101" s="27"/>
      <c r="X101" s="27"/>
      <c r="Y101" s="27"/>
      <c r="Z101" s="27"/>
      <c r="AA101" s="27"/>
      <c r="AB101" s="27"/>
      <c r="AC101" s="9" t="s">
        <v>49</v>
      </c>
      <c r="AD101" s="27" t="s">
        <v>50</v>
      </c>
      <c r="AE101" s="28">
        <v>115056187584</v>
      </c>
      <c r="AF101" s="27" t="s">
        <v>51</v>
      </c>
      <c r="AG101" s="27" t="s">
        <v>559</v>
      </c>
      <c r="AH101" s="41">
        <f>IF(ISBLANK(SessionTracker[[#This Row],[Preferred Mentor Selected On]]),"",SessionTracker[[#This Row],[Preferred Mentor Selected On]]-WEEKDAY(SessionTracker[[#This Row],[Preferred Mentor Selected On]],2)+1)</f>
        <v>46041</v>
      </c>
      <c r="AI101" s="40">
        <f>IF(ISBLANK(SessionTracker[[#This Row],[Meeting Date]]),"",SessionTracker[[#This Row],[Meeting Date]]-WEEKDAY(SessionTracker[[#This Row],[Meeting Date]],2)+1)</f>
        <v>46069</v>
      </c>
    </row>
    <row r="102" spans="1:35" ht="19.2" customHeight="1" x14ac:dyDescent="0.3">
      <c r="A102" s="24" t="s">
        <v>565</v>
      </c>
      <c r="B102" s="6" t="s">
        <v>548</v>
      </c>
      <c r="C102" s="7" t="s">
        <v>40</v>
      </c>
      <c r="D102" s="8" t="s">
        <v>41</v>
      </c>
      <c r="E102" s="8" t="s">
        <v>444</v>
      </c>
      <c r="F102" s="6" t="s">
        <v>566</v>
      </c>
      <c r="G102" s="9" t="s">
        <v>43</v>
      </c>
      <c r="H102" s="5">
        <v>46015</v>
      </c>
      <c r="I102" s="5">
        <v>46020</v>
      </c>
      <c r="J102" s="5">
        <v>46020</v>
      </c>
      <c r="K102" s="5">
        <v>46041</v>
      </c>
      <c r="L102" s="23">
        <v>46070</v>
      </c>
      <c r="M102" s="27"/>
      <c r="N102" s="27"/>
      <c r="O102" s="10" t="s">
        <v>44</v>
      </c>
      <c r="P102" s="30"/>
      <c r="Q102" s="38" t="s">
        <v>567</v>
      </c>
      <c r="R102" s="38" t="s">
        <v>568</v>
      </c>
      <c r="S102" s="30" t="s">
        <v>569</v>
      </c>
      <c r="T102" s="35" t="s">
        <v>570</v>
      </c>
      <c r="U102" s="30"/>
      <c r="V102" s="9"/>
      <c r="W102" s="27"/>
      <c r="X102" s="27"/>
      <c r="Y102" s="27"/>
      <c r="Z102" s="27"/>
      <c r="AA102" s="27"/>
      <c r="AB102" s="27"/>
      <c r="AC102" s="9" t="s">
        <v>49</v>
      </c>
      <c r="AD102" s="27" t="s">
        <v>50</v>
      </c>
      <c r="AE102" s="28">
        <v>115056187941</v>
      </c>
      <c r="AF102" s="27" t="s">
        <v>51</v>
      </c>
      <c r="AG102" s="27" t="s">
        <v>559</v>
      </c>
      <c r="AH102" s="41">
        <f>IF(ISBLANK(SessionTracker[[#This Row],[Preferred Mentor Selected On]]),"",SessionTracker[[#This Row],[Preferred Mentor Selected On]]-WEEKDAY(SessionTracker[[#This Row],[Preferred Mentor Selected On]],2)+1)</f>
        <v>46041</v>
      </c>
      <c r="AI102" s="40">
        <f>IF(ISBLANK(SessionTracker[[#This Row],[Meeting Date]]),"",SessionTracker[[#This Row],[Meeting Date]]-WEEKDAY(SessionTracker[[#This Row],[Meeting Date]],2)+1)</f>
        <v>46069</v>
      </c>
    </row>
    <row r="103" spans="1:35" ht="19.2" customHeight="1" x14ac:dyDescent="0.3">
      <c r="A103" s="24" t="s">
        <v>571</v>
      </c>
      <c r="B103" s="6" t="s">
        <v>548</v>
      </c>
      <c r="C103" s="7" t="s">
        <v>40</v>
      </c>
      <c r="D103" s="8" t="s">
        <v>41</v>
      </c>
      <c r="E103" s="8" t="s">
        <v>556</v>
      </c>
      <c r="F103" s="6" t="s">
        <v>557</v>
      </c>
      <c r="G103" s="9" t="s">
        <v>43</v>
      </c>
      <c r="H103" s="5">
        <v>46015</v>
      </c>
      <c r="I103" s="5">
        <v>46020</v>
      </c>
      <c r="J103" s="5">
        <v>46020</v>
      </c>
      <c r="K103" s="5">
        <v>46041</v>
      </c>
      <c r="L103" s="23">
        <v>46065</v>
      </c>
      <c r="M103" s="27"/>
      <c r="N103" s="27"/>
      <c r="O103" s="10" t="s">
        <v>44</v>
      </c>
      <c r="P103" s="30"/>
      <c r="Q103" s="38" t="s">
        <v>572</v>
      </c>
      <c r="R103" s="38" t="s">
        <v>558</v>
      </c>
      <c r="S103" s="30" t="s">
        <v>573</v>
      </c>
      <c r="T103" s="35" t="s">
        <v>574</v>
      </c>
      <c r="U103" s="30"/>
      <c r="V103" s="9"/>
      <c r="W103" s="27"/>
      <c r="X103" s="27"/>
      <c r="Y103" s="27"/>
      <c r="Z103" s="27"/>
      <c r="AA103" s="27"/>
      <c r="AB103" s="27"/>
      <c r="AC103" s="9" t="s">
        <v>49</v>
      </c>
      <c r="AD103" s="27" t="s">
        <v>90</v>
      </c>
      <c r="AE103" s="28">
        <v>115056185661</v>
      </c>
      <c r="AF103" s="27" t="s">
        <v>51</v>
      </c>
      <c r="AG103" s="27" t="s">
        <v>559</v>
      </c>
      <c r="AH103" s="41">
        <f>IF(ISBLANK(SessionTracker[[#This Row],[Preferred Mentor Selected On]]),"",SessionTracker[[#This Row],[Preferred Mentor Selected On]]-WEEKDAY(SessionTracker[[#This Row],[Preferred Mentor Selected On]],2)+1)</f>
        <v>46041</v>
      </c>
      <c r="AI103" s="40">
        <f>IF(ISBLANK(SessionTracker[[#This Row],[Meeting Date]]),"",SessionTracker[[#This Row],[Meeting Date]]-WEEKDAY(SessionTracker[[#This Row],[Meeting Date]],2)+1)</f>
        <v>46062</v>
      </c>
    </row>
    <row r="104" spans="1:35" ht="19.2" customHeight="1" x14ac:dyDescent="0.3">
      <c r="A104" s="24" t="s">
        <v>575</v>
      </c>
      <c r="B104" s="6" t="s">
        <v>576</v>
      </c>
      <c r="C104" s="7" t="s">
        <v>40</v>
      </c>
      <c r="D104" s="8" t="s">
        <v>41</v>
      </c>
      <c r="E104" s="8" t="s">
        <v>68</v>
      </c>
      <c r="F104" s="8"/>
      <c r="G104" s="9" t="s">
        <v>43</v>
      </c>
      <c r="H104" s="5"/>
      <c r="I104" s="5">
        <v>45992</v>
      </c>
      <c r="J104" s="5">
        <v>46027</v>
      </c>
      <c r="K104" s="23">
        <v>46092</v>
      </c>
      <c r="L104" s="23">
        <v>46092</v>
      </c>
      <c r="M104" s="27"/>
      <c r="N104" s="27"/>
      <c r="O104" s="10" t="s">
        <v>44</v>
      </c>
      <c r="P104" s="30"/>
      <c r="Q104" s="30"/>
      <c r="R104" s="30"/>
      <c r="S104" s="30" t="s">
        <v>372</v>
      </c>
      <c r="T104" s="30" t="s">
        <v>372</v>
      </c>
      <c r="U104" s="30"/>
      <c r="V104" s="9"/>
      <c r="W104" s="27"/>
      <c r="X104" s="27"/>
      <c r="Y104" s="27"/>
      <c r="Z104" s="27"/>
      <c r="AA104" s="27"/>
      <c r="AB104" s="27"/>
      <c r="AC104" s="9" t="s">
        <v>60</v>
      </c>
      <c r="AD104" s="27">
        <v>0</v>
      </c>
      <c r="AE104" s="28">
        <v>115080545344</v>
      </c>
      <c r="AF104" s="27" t="s">
        <v>51</v>
      </c>
      <c r="AG104" s="27">
        <v>0</v>
      </c>
      <c r="AH104" s="41">
        <f>IF(ISBLANK(SessionTracker[[#This Row],[Preferred Mentor Selected On]]),"",SessionTracker[[#This Row],[Preferred Mentor Selected On]]-WEEKDAY(SessionTracker[[#This Row],[Preferred Mentor Selected On]],2)+1)</f>
        <v>46090</v>
      </c>
      <c r="AI104" s="40">
        <f>IF(ISBLANK(SessionTracker[[#This Row],[Meeting Date]]),"",SessionTracker[[#This Row],[Meeting Date]]-WEEKDAY(SessionTracker[[#This Row],[Meeting Date]],2)+1)</f>
        <v>46090</v>
      </c>
    </row>
    <row r="105" spans="1:35" ht="19.2" customHeight="1" x14ac:dyDescent="0.3">
      <c r="A105" s="24" t="s">
        <v>577</v>
      </c>
      <c r="B105" s="6" t="s">
        <v>578</v>
      </c>
      <c r="C105" s="7" t="s">
        <v>40</v>
      </c>
      <c r="D105" s="8" t="s">
        <v>74</v>
      </c>
      <c r="E105" s="8" t="s">
        <v>579</v>
      </c>
      <c r="F105" s="8" t="s">
        <v>580</v>
      </c>
      <c r="G105" s="9" t="s">
        <v>43</v>
      </c>
      <c r="H105" s="5">
        <v>46015</v>
      </c>
      <c r="I105" s="5">
        <v>46027</v>
      </c>
      <c r="J105" s="5">
        <v>46027</v>
      </c>
      <c r="K105" s="5">
        <v>46055</v>
      </c>
      <c r="L105" s="23">
        <v>46066</v>
      </c>
      <c r="M105" s="27"/>
      <c r="N105" s="27"/>
      <c r="O105" s="10" t="s">
        <v>44</v>
      </c>
      <c r="P105" s="30"/>
      <c r="Q105" s="38" t="s">
        <v>581</v>
      </c>
      <c r="R105" s="38" t="s">
        <v>582</v>
      </c>
      <c r="S105" s="30" t="s">
        <v>583</v>
      </c>
      <c r="T105" s="35" t="s">
        <v>584</v>
      </c>
      <c r="U105" s="30"/>
      <c r="V105" s="9"/>
      <c r="W105" s="27"/>
      <c r="X105" s="27"/>
      <c r="Y105" s="27"/>
      <c r="Z105" s="27"/>
      <c r="AA105" s="27"/>
      <c r="AB105" s="27"/>
      <c r="AC105" s="9" t="s">
        <v>49</v>
      </c>
      <c r="AD105" s="27" t="s">
        <v>50</v>
      </c>
      <c r="AE105" s="28">
        <v>0</v>
      </c>
      <c r="AF105" s="27" t="s">
        <v>317</v>
      </c>
      <c r="AG105" s="27" t="s">
        <v>585</v>
      </c>
      <c r="AH105" s="41">
        <f>IF(ISBLANK(SessionTracker[[#This Row],[Preferred Mentor Selected On]]),"",SessionTracker[[#This Row],[Preferred Mentor Selected On]]-WEEKDAY(SessionTracker[[#This Row],[Preferred Mentor Selected On]],2)+1)</f>
        <v>46055</v>
      </c>
      <c r="AI105" s="40">
        <f>IF(ISBLANK(SessionTracker[[#This Row],[Meeting Date]]),"",SessionTracker[[#This Row],[Meeting Date]]-WEEKDAY(SessionTracker[[#This Row],[Meeting Date]],2)+1)</f>
        <v>46062</v>
      </c>
    </row>
    <row r="106" spans="1:35" ht="19.2" customHeight="1" x14ac:dyDescent="0.3">
      <c r="A106" s="24" t="s">
        <v>586</v>
      </c>
      <c r="B106" s="6" t="s">
        <v>578</v>
      </c>
      <c r="C106" s="7" t="s">
        <v>40</v>
      </c>
      <c r="D106" s="8" t="s">
        <v>74</v>
      </c>
      <c r="E106" s="8" t="s">
        <v>190</v>
      </c>
      <c r="F106" s="8" t="s">
        <v>587</v>
      </c>
      <c r="G106" s="9" t="s">
        <v>43</v>
      </c>
      <c r="H106" s="5">
        <v>46015</v>
      </c>
      <c r="I106" s="5">
        <v>46027</v>
      </c>
      <c r="J106" s="5">
        <v>46027</v>
      </c>
      <c r="K106" s="5">
        <v>46055</v>
      </c>
      <c r="L106" s="23">
        <v>46066</v>
      </c>
      <c r="M106" s="27"/>
      <c r="N106" s="27"/>
      <c r="O106" s="10" t="s">
        <v>44</v>
      </c>
      <c r="P106" s="30"/>
      <c r="Q106" s="38" t="s">
        <v>588</v>
      </c>
      <c r="R106" s="38" t="s">
        <v>589</v>
      </c>
      <c r="S106" s="30" t="s">
        <v>590</v>
      </c>
      <c r="T106" s="35" t="s">
        <v>591</v>
      </c>
      <c r="U106" s="30"/>
      <c r="V106" s="9"/>
      <c r="W106" s="27"/>
      <c r="X106" s="27"/>
      <c r="Y106" s="27"/>
      <c r="Z106" s="27"/>
      <c r="AA106" s="27"/>
      <c r="AB106" s="27"/>
      <c r="AC106" s="9" t="s">
        <v>49</v>
      </c>
      <c r="AD106" s="27" t="s">
        <v>50</v>
      </c>
      <c r="AE106" s="28">
        <v>0</v>
      </c>
      <c r="AF106" s="27" t="s">
        <v>317</v>
      </c>
      <c r="AG106" s="27" t="s">
        <v>585</v>
      </c>
      <c r="AH106" s="41">
        <f>IF(ISBLANK(SessionTracker[[#This Row],[Preferred Mentor Selected On]]),"",SessionTracker[[#This Row],[Preferred Mentor Selected On]]-WEEKDAY(SessionTracker[[#This Row],[Preferred Mentor Selected On]],2)+1)</f>
        <v>46055</v>
      </c>
      <c r="AI106" s="40">
        <f>IF(ISBLANK(SessionTracker[[#This Row],[Meeting Date]]),"",SessionTracker[[#This Row],[Meeting Date]]-WEEKDAY(SessionTracker[[#This Row],[Meeting Date]],2)+1)</f>
        <v>46062</v>
      </c>
    </row>
    <row r="107" spans="1:35" ht="19.2" customHeight="1" x14ac:dyDescent="0.3">
      <c r="A107" s="24" t="s">
        <v>592</v>
      </c>
      <c r="B107" s="6" t="s">
        <v>593</v>
      </c>
      <c r="C107" s="7" t="s">
        <v>73</v>
      </c>
      <c r="D107" s="8" t="s">
        <v>41</v>
      </c>
      <c r="E107" s="8" t="s">
        <v>594</v>
      </c>
      <c r="F107" s="8" t="s">
        <v>595</v>
      </c>
      <c r="G107" s="9" t="s">
        <v>43</v>
      </c>
      <c r="H107" s="5">
        <v>46029</v>
      </c>
      <c r="I107" s="5">
        <v>46029</v>
      </c>
      <c r="J107" s="5">
        <v>46038</v>
      </c>
      <c r="K107" s="5">
        <v>46041</v>
      </c>
      <c r="L107" s="23">
        <v>46044</v>
      </c>
      <c r="M107" s="27"/>
      <c r="N107" s="27"/>
      <c r="O107" s="10" t="s">
        <v>44</v>
      </c>
      <c r="P107" s="30"/>
      <c r="Q107" s="38" t="s">
        <v>596</v>
      </c>
      <c r="R107" s="38" t="s">
        <v>597</v>
      </c>
      <c r="S107" s="30" t="s">
        <v>598</v>
      </c>
      <c r="T107" s="35" t="s">
        <v>599</v>
      </c>
      <c r="U107" s="30"/>
      <c r="V107" s="9"/>
      <c r="W107" s="27"/>
      <c r="X107" s="27"/>
      <c r="Y107" s="27"/>
      <c r="Z107" s="27"/>
      <c r="AA107" s="27"/>
      <c r="AB107" s="27"/>
      <c r="AC107" s="9" t="s">
        <v>49</v>
      </c>
      <c r="AD107" s="27" t="s">
        <v>50</v>
      </c>
      <c r="AE107" s="28">
        <v>115030546274</v>
      </c>
      <c r="AF107" s="27" t="s">
        <v>51</v>
      </c>
      <c r="AG107" s="27" t="s">
        <v>600</v>
      </c>
      <c r="AH107" s="41">
        <f>IF(ISBLANK(SessionTracker[[#This Row],[Preferred Mentor Selected On]]),"",SessionTracker[[#This Row],[Preferred Mentor Selected On]]-WEEKDAY(SessionTracker[[#This Row],[Preferred Mentor Selected On]],2)+1)</f>
        <v>46041</v>
      </c>
      <c r="AI107" s="40">
        <f>IF(ISBLANK(SessionTracker[[#This Row],[Meeting Date]]),"",SessionTracker[[#This Row],[Meeting Date]]-WEEKDAY(SessionTracker[[#This Row],[Meeting Date]],2)+1)</f>
        <v>46041</v>
      </c>
    </row>
    <row r="108" spans="1:35" ht="19.2" customHeight="1" x14ac:dyDescent="0.3">
      <c r="A108" s="24" t="s">
        <v>601</v>
      </c>
      <c r="B108" s="6" t="s">
        <v>602</v>
      </c>
      <c r="C108" s="7" t="s">
        <v>73</v>
      </c>
      <c r="D108" s="8" t="s">
        <v>74</v>
      </c>
      <c r="E108" s="8" t="s">
        <v>394</v>
      </c>
      <c r="F108" s="8" t="s">
        <v>603</v>
      </c>
      <c r="G108" s="9" t="s">
        <v>43</v>
      </c>
      <c r="H108" s="5">
        <v>46035</v>
      </c>
      <c r="I108" s="5">
        <v>46030</v>
      </c>
      <c r="J108" s="5">
        <v>46035</v>
      </c>
      <c r="K108" s="5">
        <v>46059</v>
      </c>
      <c r="L108" s="23">
        <v>46064</v>
      </c>
      <c r="M108" s="27"/>
      <c r="N108" s="27"/>
      <c r="O108" s="10" t="s">
        <v>44</v>
      </c>
      <c r="P108" s="30"/>
      <c r="Q108" s="38" t="s">
        <v>604</v>
      </c>
      <c r="R108" s="38" t="s">
        <v>605</v>
      </c>
      <c r="S108" s="30" t="s">
        <v>606</v>
      </c>
      <c r="T108" s="35" t="s">
        <v>607</v>
      </c>
      <c r="U108" s="30"/>
      <c r="V108" s="9"/>
      <c r="W108" s="27"/>
      <c r="X108" s="27"/>
      <c r="Y108" s="27"/>
      <c r="Z108" s="27"/>
      <c r="AA108" s="27"/>
      <c r="AB108" s="27"/>
      <c r="AC108" s="9" t="s">
        <v>49</v>
      </c>
      <c r="AD108" s="27" t="s">
        <v>50</v>
      </c>
      <c r="AE108" s="28">
        <v>0</v>
      </c>
      <c r="AF108" s="27" t="s">
        <v>608</v>
      </c>
      <c r="AG108" s="27" t="s">
        <v>609</v>
      </c>
      <c r="AH108" s="41">
        <f>IF(ISBLANK(SessionTracker[[#This Row],[Preferred Mentor Selected On]]),"",SessionTracker[[#This Row],[Preferred Mentor Selected On]]-WEEKDAY(SessionTracker[[#This Row],[Preferred Mentor Selected On]],2)+1)</f>
        <v>46055</v>
      </c>
      <c r="AI108" s="40">
        <f>IF(ISBLANK(SessionTracker[[#This Row],[Meeting Date]]),"",SessionTracker[[#This Row],[Meeting Date]]-WEEKDAY(SessionTracker[[#This Row],[Meeting Date]],2)+1)</f>
        <v>46062</v>
      </c>
    </row>
    <row r="109" spans="1:35" ht="19.2" customHeight="1" x14ac:dyDescent="0.3">
      <c r="A109" s="24" t="s">
        <v>610</v>
      </c>
      <c r="B109" s="6" t="s">
        <v>611</v>
      </c>
      <c r="C109" s="7" t="s">
        <v>73</v>
      </c>
      <c r="D109" s="8" t="s">
        <v>41</v>
      </c>
      <c r="E109" s="8" t="s">
        <v>612</v>
      </c>
      <c r="F109" s="8" t="s">
        <v>613</v>
      </c>
      <c r="G109" s="9" t="s">
        <v>43</v>
      </c>
      <c r="H109" s="5">
        <v>46038</v>
      </c>
      <c r="I109" s="5">
        <v>46035</v>
      </c>
      <c r="J109" s="5">
        <v>46038</v>
      </c>
      <c r="K109" s="5">
        <v>46045</v>
      </c>
      <c r="L109" s="23">
        <v>46048</v>
      </c>
      <c r="M109" s="27"/>
      <c r="N109" s="27"/>
      <c r="O109" s="10" t="s">
        <v>44</v>
      </c>
      <c r="P109" s="30"/>
      <c r="Q109" s="38" t="s">
        <v>614</v>
      </c>
      <c r="R109" s="38" t="s">
        <v>615</v>
      </c>
      <c r="S109" s="30" t="s">
        <v>616</v>
      </c>
      <c r="T109" s="35" t="s">
        <v>617</v>
      </c>
      <c r="U109" s="30"/>
      <c r="V109" s="9"/>
      <c r="W109" s="27"/>
      <c r="X109" s="27"/>
      <c r="Y109" s="27"/>
      <c r="Z109" s="27"/>
      <c r="AA109" s="27"/>
      <c r="AB109" s="27"/>
      <c r="AC109" s="9" t="s">
        <v>49</v>
      </c>
      <c r="AD109" s="27" t="s">
        <v>50</v>
      </c>
      <c r="AE109" s="28">
        <v>115029759318</v>
      </c>
      <c r="AF109" s="27" t="s">
        <v>51</v>
      </c>
      <c r="AG109" s="27">
        <v>0</v>
      </c>
      <c r="AH109" s="41">
        <f>IF(ISBLANK(SessionTracker[[#This Row],[Preferred Mentor Selected On]]),"",SessionTracker[[#This Row],[Preferred Mentor Selected On]]-WEEKDAY(SessionTracker[[#This Row],[Preferred Mentor Selected On]],2)+1)</f>
        <v>46041</v>
      </c>
      <c r="AI109" s="40">
        <f>IF(ISBLANK(SessionTracker[[#This Row],[Meeting Date]]),"",SessionTracker[[#This Row],[Meeting Date]]-WEEKDAY(SessionTracker[[#This Row],[Meeting Date]],2)+1)</f>
        <v>46048</v>
      </c>
    </row>
    <row r="110" spans="1:35" ht="19.2" customHeight="1" x14ac:dyDescent="0.3">
      <c r="A110" s="24" t="s">
        <v>618</v>
      </c>
      <c r="B110" s="6" t="s">
        <v>611</v>
      </c>
      <c r="C110" s="7" t="s">
        <v>73</v>
      </c>
      <c r="D110" s="8" t="s">
        <v>41</v>
      </c>
      <c r="E110" s="8" t="s">
        <v>619</v>
      </c>
      <c r="F110" s="8" t="s">
        <v>620</v>
      </c>
      <c r="G110" s="9" t="s">
        <v>43</v>
      </c>
      <c r="H110" s="5">
        <v>46038</v>
      </c>
      <c r="I110" s="5">
        <v>46035</v>
      </c>
      <c r="J110" s="5">
        <v>46038</v>
      </c>
      <c r="K110" s="5">
        <v>46045</v>
      </c>
      <c r="L110" s="23">
        <v>46059</v>
      </c>
      <c r="M110" s="27"/>
      <c r="N110" s="27"/>
      <c r="O110" s="10" t="s">
        <v>44</v>
      </c>
      <c r="P110" s="30"/>
      <c r="Q110" s="38" t="s">
        <v>621</v>
      </c>
      <c r="R110" s="35" t="s">
        <v>622</v>
      </c>
      <c r="S110" s="30" t="s">
        <v>623</v>
      </c>
      <c r="T110" s="35" t="s">
        <v>624</v>
      </c>
      <c r="U110" s="30"/>
      <c r="V110" s="9"/>
      <c r="W110" s="27"/>
      <c r="X110" s="27"/>
      <c r="Y110" s="27"/>
      <c r="Z110" s="27"/>
      <c r="AA110" s="27"/>
      <c r="AB110" s="27"/>
      <c r="AC110" s="9" t="s">
        <v>49</v>
      </c>
      <c r="AD110" s="27" t="s">
        <v>50</v>
      </c>
      <c r="AE110" s="28">
        <v>0</v>
      </c>
      <c r="AF110" s="27" t="s">
        <v>51</v>
      </c>
      <c r="AG110" s="27" t="s">
        <v>305</v>
      </c>
      <c r="AH110" s="41">
        <f>IF(ISBLANK(SessionTracker[[#This Row],[Preferred Mentor Selected On]]),"",SessionTracker[[#This Row],[Preferred Mentor Selected On]]-WEEKDAY(SessionTracker[[#This Row],[Preferred Mentor Selected On]],2)+1)</f>
        <v>46041</v>
      </c>
      <c r="AI110" s="40">
        <f>IF(ISBLANK(SessionTracker[[#This Row],[Meeting Date]]),"",SessionTracker[[#This Row],[Meeting Date]]-WEEKDAY(SessionTracker[[#This Row],[Meeting Date]],2)+1)</f>
        <v>46055</v>
      </c>
    </row>
    <row r="111" spans="1:35" ht="19.2" customHeight="1" x14ac:dyDescent="0.3">
      <c r="A111" s="24" t="s">
        <v>625</v>
      </c>
      <c r="B111" s="6" t="s">
        <v>626</v>
      </c>
      <c r="C111" s="7" t="s">
        <v>84</v>
      </c>
      <c r="D111" s="8" t="s">
        <v>41</v>
      </c>
      <c r="E111" s="8" t="s">
        <v>627</v>
      </c>
      <c r="F111" s="8" t="s">
        <v>628</v>
      </c>
      <c r="G111" s="9" t="s">
        <v>43</v>
      </c>
      <c r="H111" s="5">
        <v>46038</v>
      </c>
      <c r="I111" s="5">
        <v>46042</v>
      </c>
      <c r="J111" s="5">
        <v>46043</v>
      </c>
      <c r="K111" s="5">
        <v>46080</v>
      </c>
      <c r="L111" s="23">
        <v>46099</v>
      </c>
      <c r="M111" s="27"/>
      <c r="N111" s="27"/>
      <c r="O111" s="10" t="s">
        <v>44</v>
      </c>
      <c r="P111" s="30"/>
      <c r="Q111" s="35" t="s">
        <v>629</v>
      </c>
      <c r="R111" s="35" t="s">
        <v>630</v>
      </c>
      <c r="S111" s="30" t="s">
        <v>631</v>
      </c>
      <c r="T111" s="30" t="s">
        <v>632</v>
      </c>
      <c r="U111" s="30"/>
      <c r="V111" s="9"/>
      <c r="W111" s="27"/>
      <c r="X111" s="27"/>
      <c r="Y111" s="27"/>
      <c r="Z111" s="27"/>
      <c r="AA111" s="27"/>
      <c r="AB111" s="27"/>
      <c r="AC111" s="9" t="s">
        <v>49</v>
      </c>
      <c r="AD111" s="27" t="s">
        <v>50</v>
      </c>
      <c r="AE111" s="28">
        <v>115062696710</v>
      </c>
      <c r="AF111" s="27" t="s">
        <v>51</v>
      </c>
      <c r="AG111" s="27" t="s">
        <v>633</v>
      </c>
      <c r="AH111" s="41">
        <f>IF(ISBLANK(SessionTracker[[#This Row],[Preferred Mentor Selected On]]),"",SessionTracker[[#This Row],[Preferred Mentor Selected On]]-WEEKDAY(SessionTracker[[#This Row],[Preferred Mentor Selected On]],2)+1)</f>
        <v>46076</v>
      </c>
      <c r="AI111" s="40">
        <f>IF(ISBLANK(SessionTracker[[#This Row],[Meeting Date]]),"",SessionTracker[[#This Row],[Meeting Date]]-WEEKDAY(SessionTracker[[#This Row],[Meeting Date]],2)+1)</f>
        <v>46097</v>
      </c>
    </row>
    <row r="112" spans="1:35" ht="19.2" customHeight="1" x14ac:dyDescent="0.3">
      <c r="A112" s="24" t="s">
        <v>634</v>
      </c>
      <c r="B112" s="6" t="s">
        <v>626</v>
      </c>
      <c r="C112" s="7" t="s">
        <v>84</v>
      </c>
      <c r="D112" s="8" t="s">
        <v>41</v>
      </c>
      <c r="E112" s="8" t="s">
        <v>635</v>
      </c>
      <c r="F112" s="8" t="s">
        <v>636</v>
      </c>
      <c r="G112" s="9" t="s">
        <v>43</v>
      </c>
      <c r="H112" s="5">
        <v>46038</v>
      </c>
      <c r="I112" s="5">
        <v>46042</v>
      </c>
      <c r="J112" s="5">
        <v>46043</v>
      </c>
      <c r="K112" s="5">
        <v>46080</v>
      </c>
      <c r="L112" s="23">
        <v>46101</v>
      </c>
      <c r="M112" s="27"/>
      <c r="N112" s="27"/>
      <c r="O112" s="10" t="s">
        <v>44</v>
      </c>
      <c r="P112" s="30"/>
      <c r="Q112" s="35" t="s">
        <v>637</v>
      </c>
      <c r="R112" s="35" t="s">
        <v>638</v>
      </c>
      <c r="S112" s="30" t="s">
        <v>639</v>
      </c>
      <c r="T112" s="30" t="s">
        <v>640</v>
      </c>
      <c r="U112" s="30"/>
      <c r="V112" s="9"/>
      <c r="W112" s="27"/>
      <c r="X112" s="27"/>
      <c r="Y112" s="27"/>
      <c r="Z112" s="27"/>
      <c r="AA112" s="27"/>
      <c r="AB112" s="27"/>
      <c r="AC112" s="9" t="s">
        <v>49</v>
      </c>
      <c r="AD112" s="27" t="s">
        <v>50</v>
      </c>
      <c r="AE112" s="28">
        <v>115063541396</v>
      </c>
      <c r="AF112" s="27" t="s">
        <v>51</v>
      </c>
      <c r="AG112" s="27" t="s">
        <v>641</v>
      </c>
      <c r="AH112" s="41">
        <f>IF(ISBLANK(SessionTracker[[#This Row],[Preferred Mentor Selected On]]),"",SessionTracker[[#This Row],[Preferred Mentor Selected On]]-WEEKDAY(SessionTracker[[#This Row],[Preferred Mentor Selected On]],2)+1)</f>
        <v>46076</v>
      </c>
      <c r="AI112" s="40">
        <f>IF(ISBLANK(SessionTracker[[#This Row],[Meeting Date]]),"",SessionTracker[[#This Row],[Meeting Date]]-WEEKDAY(SessionTracker[[#This Row],[Meeting Date]],2)+1)</f>
        <v>46097</v>
      </c>
    </row>
    <row r="113" spans="1:35" ht="19.2" customHeight="1" x14ac:dyDescent="0.3">
      <c r="A113" s="24" t="s">
        <v>642</v>
      </c>
      <c r="B113" s="6" t="s">
        <v>626</v>
      </c>
      <c r="C113" s="7" t="s">
        <v>84</v>
      </c>
      <c r="D113" s="8" t="s">
        <v>41</v>
      </c>
      <c r="E113" s="8" t="s">
        <v>125</v>
      </c>
      <c r="F113" s="8" t="s">
        <v>643</v>
      </c>
      <c r="G113" s="9" t="s">
        <v>43</v>
      </c>
      <c r="H113" s="5">
        <v>46038</v>
      </c>
      <c r="I113" s="5">
        <v>46042</v>
      </c>
      <c r="J113" s="5">
        <v>46043</v>
      </c>
      <c r="K113" s="5">
        <v>46080</v>
      </c>
      <c r="L113" s="23">
        <v>46106</v>
      </c>
      <c r="M113" s="27"/>
      <c r="N113" s="27"/>
      <c r="O113" s="10" t="s">
        <v>44</v>
      </c>
      <c r="P113" s="30"/>
      <c r="Q113" s="35" t="s">
        <v>644</v>
      </c>
      <c r="R113" s="35" t="s">
        <v>645</v>
      </c>
      <c r="S113" s="30" t="s">
        <v>646</v>
      </c>
      <c r="T113" s="30" t="s">
        <v>647</v>
      </c>
      <c r="U113" s="30"/>
      <c r="V113" s="9"/>
      <c r="W113" s="27"/>
      <c r="X113" s="27"/>
      <c r="Y113" s="27"/>
      <c r="Z113" s="27"/>
      <c r="AA113" s="27"/>
      <c r="AB113" s="27"/>
      <c r="AC113" s="9" t="s">
        <v>49</v>
      </c>
      <c r="AD113" s="27" t="s">
        <v>50</v>
      </c>
      <c r="AE113" s="28">
        <v>115067302264</v>
      </c>
      <c r="AF113" s="27" t="s">
        <v>51</v>
      </c>
      <c r="AG113" s="27" t="s">
        <v>648</v>
      </c>
      <c r="AH113" s="41">
        <f>IF(ISBLANK(SessionTracker[[#This Row],[Preferred Mentor Selected On]]),"",SessionTracker[[#This Row],[Preferred Mentor Selected On]]-WEEKDAY(SessionTracker[[#This Row],[Preferred Mentor Selected On]],2)+1)</f>
        <v>46076</v>
      </c>
      <c r="AI113" s="40">
        <f>IF(ISBLANK(SessionTracker[[#This Row],[Meeting Date]]),"",SessionTracker[[#This Row],[Meeting Date]]-WEEKDAY(SessionTracker[[#This Row],[Meeting Date]],2)+1)</f>
        <v>46104</v>
      </c>
    </row>
    <row r="114" spans="1:35" ht="19.2" customHeight="1" x14ac:dyDescent="0.3">
      <c r="A114" s="24" t="s">
        <v>649</v>
      </c>
      <c r="B114" s="6" t="s">
        <v>650</v>
      </c>
      <c r="C114" s="7" t="s">
        <v>40</v>
      </c>
      <c r="D114" s="8" t="s">
        <v>41</v>
      </c>
      <c r="E114" s="8" t="s">
        <v>651</v>
      </c>
      <c r="F114" s="8" t="s">
        <v>652</v>
      </c>
      <c r="G114" s="9" t="s">
        <v>43</v>
      </c>
      <c r="H114" s="5">
        <v>46042</v>
      </c>
      <c r="I114" s="5">
        <v>46044</v>
      </c>
      <c r="J114" s="5">
        <v>46055</v>
      </c>
      <c r="K114" s="5">
        <v>46078</v>
      </c>
      <c r="L114" s="23">
        <v>46088</v>
      </c>
      <c r="M114" s="27"/>
      <c r="N114" s="27"/>
      <c r="O114" s="10" t="s">
        <v>44</v>
      </c>
      <c r="P114" s="30"/>
      <c r="Q114" s="35" t="s">
        <v>653</v>
      </c>
      <c r="R114" s="35" t="s">
        <v>654</v>
      </c>
      <c r="S114" s="30" t="s">
        <v>655</v>
      </c>
      <c r="T114" s="35" t="s">
        <v>656</v>
      </c>
      <c r="U114" s="30"/>
      <c r="V114" s="9"/>
      <c r="W114" s="27"/>
      <c r="X114" s="27"/>
      <c r="Y114" s="27"/>
      <c r="Z114" s="27"/>
      <c r="AA114" s="27"/>
      <c r="AB114" s="27"/>
      <c r="AC114" s="9" t="s">
        <v>49</v>
      </c>
      <c r="AD114" s="27" t="s">
        <v>50</v>
      </c>
      <c r="AE114" s="28">
        <v>115056976367</v>
      </c>
      <c r="AF114" s="27" t="s">
        <v>51</v>
      </c>
      <c r="AG114" s="27" t="s">
        <v>657</v>
      </c>
      <c r="AH114" s="41">
        <f>IF(ISBLANK(SessionTracker[[#This Row],[Preferred Mentor Selected On]]),"",SessionTracker[[#This Row],[Preferred Mentor Selected On]]-WEEKDAY(SessionTracker[[#This Row],[Preferred Mentor Selected On]],2)+1)</f>
        <v>46076</v>
      </c>
      <c r="AI114" s="40">
        <f>IF(ISBLANK(SessionTracker[[#This Row],[Meeting Date]]),"",SessionTracker[[#This Row],[Meeting Date]]-WEEKDAY(SessionTracker[[#This Row],[Meeting Date]],2)+1)</f>
        <v>46083</v>
      </c>
    </row>
    <row r="115" spans="1:35" ht="19.2" customHeight="1" x14ac:dyDescent="0.3">
      <c r="A115" s="24" t="s">
        <v>658</v>
      </c>
      <c r="B115" s="6" t="s">
        <v>650</v>
      </c>
      <c r="C115" s="7" t="s">
        <v>40</v>
      </c>
      <c r="D115" s="8" t="s">
        <v>41</v>
      </c>
      <c r="E115" s="8" t="s">
        <v>659</v>
      </c>
      <c r="F115" s="8" t="s">
        <v>660</v>
      </c>
      <c r="G115" s="9" t="s">
        <v>43</v>
      </c>
      <c r="H115" s="5">
        <v>46042</v>
      </c>
      <c r="I115" s="5">
        <v>46044</v>
      </c>
      <c r="J115" s="5">
        <v>46055</v>
      </c>
      <c r="K115" s="5">
        <v>46078</v>
      </c>
      <c r="L115" s="23">
        <v>46091</v>
      </c>
      <c r="M115" s="27"/>
      <c r="N115" s="27"/>
      <c r="O115" s="10" t="s">
        <v>44</v>
      </c>
      <c r="P115" s="30"/>
      <c r="Q115" s="35" t="s">
        <v>661</v>
      </c>
      <c r="R115" s="35" t="s">
        <v>662</v>
      </c>
      <c r="S115" s="30" t="s">
        <v>663</v>
      </c>
      <c r="T115" s="35" t="s">
        <v>664</v>
      </c>
      <c r="U115" s="30"/>
      <c r="V115" s="9"/>
      <c r="W115" s="27"/>
      <c r="X115" s="27"/>
      <c r="Y115" s="27"/>
      <c r="Z115" s="27"/>
      <c r="AA115" s="27"/>
      <c r="AB115" s="27"/>
      <c r="AC115" s="9" t="s">
        <v>49</v>
      </c>
      <c r="AD115" s="27" t="s">
        <v>50</v>
      </c>
      <c r="AE115" s="28">
        <v>115056975802</v>
      </c>
      <c r="AF115" s="27" t="s">
        <v>51</v>
      </c>
      <c r="AG115" s="27">
        <v>0</v>
      </c>
      <c r="AH115" s="41">
        <f>IF(ISBLANK(SessionTracker[[#This Row],[Preferred Mentor Selected On]]),"",SessionTracker[[#This Row],[Preferred Mentor Selected On]]-WEEKDAY(SessionTracker[[#This Row],[Preferred Mentor Selected On]],2)+1)</f>
        <v>46076</v>
      </c>
      <c r="AI115" s="40">
        <f>IF(ISBLANK(SessionTracker[[#This Row],[Meeting Date]]),"",SessionTracker[[#This Row],[Meeting Date]]-WEEKDAY(SessionTracker[[#This Row],[Meeting Date]],2)+1)</f>
        <v>46090</v>
      </c>
    </row>
    <row r="116" spans="1:35" ht="19.2" customHeight="1" x14ac:dyDescent="0.3">
      <c r="A116" s="24" t="s">
        <v>665</v>
      </c>
      <c r="B116" s="6" t="s">
        <v>650</v>
      </c>
      <c r="C116" s="7" t="s">
        <v>40</v>
      </c>
      <c r="D116" s="8" t="s">
        <v>41</v>
      </c>
      <c r="E116" s="8" t="s">
        <v>651</v>
      </c>
      <c r="F116" s="8" t="s">
        <v>652</v>
      </c>
      <c r="G116" s="9" t="s">
        <v>43</v>
      </c>
      <c r="H116" s="5">
        <v>46042</v>
      </c>
      <c r="I116" s="5">
        <v>46044</v>
      </c>
      <c r="J116" s="5">
        <v>46055</v>
      </c>
      <c r="K116" s="5">
        <v>46078</v>
      </c>
      <c r="L116" s="23">
        <v>46095</v>
      </c>
      <c r="M116" s="27"/>
      <c r="N116" s="27"/>
      <c r="O116" s="10" t="s">
        <v>44</v>
      </c>
      <c r="P116" s="30"/>
      <c r="Q116" s="35" t="s">
        <v>666</v>
      </c>
      <c r="R116" s="35" t="s">
        <v>667</v>
      </c>
      <c r="S116" s="30" t="s">
        <v>668</v>
      </c>
      <c r="T116" s="30" t="s">
        <v>669</v>
      </c>
      <c r="U116" s="30"/>
      <c r="V116" s="9"/>
      <c r="W116" s="27"/>
      <c r="X116" s="27"/>
      <c r="Y116" s="27"/>
      <c r="Z116" s="27"/>
      <c r="AA116" s="27"/>
      <c r="AB116" s="27"/>
      <c r="AC116" s="9" t="s">
        <v>49</v>
      </c>
      <c r="AD116" s="27" t="s">
        <v>90</v>
      </c>
      <c r="AE116" s="28">
        <v>115060369534</v>
      </c>
      <c r="AF116" s="27" t="s">
        <v>51</v>
      </c>
      <c r="AG116" s="27" t="s">
        <v>670</v>
      </c>
      <c r="AH116" s="41">
        <f>IF(ISBLANK(SessionTracker[[#This Row],[Preferred Mentor Selected On]]),"",SessionTracker[[#This Row],[Preferred Mentor Selected On]]-WEEKDAY(SessionTracker[[#This Row],[Preferred Mentor Selected On]],2)+1)</f>
        <v>46076</v>
      </c>
      <c r="AI116" s="40">
        <f>IF(ISBLANK(SessionTracker[[#This Row],[Meeting Date]]),"",SessionTracker[[#This Row],[Meeting Date]]-WEEKDAY(SessionTracker[[#This Row],[Meeting Date]],2)+1)</f>
        <v>46090</v>
      </c>
    </row>
    <row r="117" spans="1:35" ht="19.2" customHeight="1" x14ac:dyDescent="0.3">
      <c r="A117" s="24" t="s">
        <v>671</v>
      </c>
      <c r="B117" s="6" t="s">
        <v>672</v>
      </c>
      <c r="C117" s="7" t="s">
        <v>40</v>
      </c>
      <c r="D117" s="8" t="s">
        <v>41</v>
      </c>
      <c r="E117" s="8" t="s">
        <v>68</v>
      </c>
      <c r="F117" s="8"/>
      <c r="G117" s="9" t="s">
        <v>43</v>
      </c>
      <c r="H117" s="5">
        <v>46042</v>
      </c>
      <c r="I117" s="5">
        <v>46044</v>
      </c>
      <c r="J117" s="5">
        <v>46045</v>
      </c>
      <c r="K117" s="5">
        <v>46026</v>
      </c>
      <c r="L117" s="23">
        <v>46029</v>
      </c>
      <c r="M117" s="27"/>
      <c r="N117" s="27"/>
      <c r="O117" s="10" t="s">
        <v>44</v>
      </c>
      <c r="P117" s="30"/>
      <c r="Q117" s="38" t="s">
        <v>673</v>
      </c>
      <c r="R117" s="30"/>
      <c r="S117" s="30" t="s">
        <v>674</v>
      </c>
      <c r="T117" s="35" t="s">
        <v>675</v>
      </c>
      <c r="U117" s="30"/>
      <c r="V117" s="9"/>
      <c r="W117" s="27"/>
      <c r="X117" s="27"/>
      <c r="Y117" s="27"/>
      <c r="Z117" s="27"/>
      <c r="AA117" s="27"/>
      <c r="AB117" s="27"/>
      <c r="AC117" s="9" t="s">
        <v>60</v>
      </c>
      <c r="AD117" s="27" t="s">
        <v>50</v>
      </c>
      <c r="AE117" s="28">
        <v>115016986081</v>
      </c>
      <c r="AF117" s="27" t="s">
        <v>51</v>
      </c>
      <c r="AG117" s="27">
        <v>0</v>
      </c>
      <c r="AH117" s="41">
        <f>IF(ISBLANK(SessionTracker[[#This Row],[Preferred Mentor Selected On]]),"",SessionTracker[[#This Row],[Preferred Mentor Selected On]]-WEEKDAY(SessionTracker[[#This Row],[Preferred Mentor Selected On]],2)+1)</f>
        <v>46020</v>
      </c>
      <c r="AI117" s="40">
        <f>IF(ISBLANK(SessionTracker[[#This Row],[Meeting Date]]),"",SessionTracker[[#This Row],[Meeting Date]]-WEEKDAY(SessionTracker[[#This Row],[Meeting Date]],2)+1)</f>
        <v>46027</v>
      </c>
    </row>
    <row r="118" spans="1:35" ht="19.2" customHeight="1" x14ac:dyDescent="0.3">
      <c r="A118" s="24" t="s">
        <v>676</v>
      </c>
      <c r="B118" s="6" t="s">
        <v>672</v>
      </c>
      <c r="C118" s="7" t="s">
        <v>40</v>
      </c>
      <c r="D118" s="8" t="s">
        <v>41</v>
      </c>
      <c r="E118" s="8" t="s">
        <v>677</v>
      </c>
      <c r="F118" s="8" t="s">
        <v>678</v>
      </c>
      <c r="G118" s="9" t="s">
        <v>43</v>
      </c>
      <c r="H118" s="5">
        <v>46042</v>
      </c>
      <c r="I118" s="5">
        <v>46044</v>
      </c>
      <c r="J118" s="5">
        <v>46045</v>
      </c>
      <c r="K118" s="5">
        <v>46101</v>
      </c>
      <c r="L118" s="23">
        <v>46116</v>
      </c>
      <c r="M118" s="27"/>
      <c r="N118" s="27"/>
      <c r="O118" s="10" t="s">
        <v>44</v>
      </c>
      <c r="P118" s="30"/>
      <c r="Q118" s="35" t="s">
        <v>679</v>
      </c>
      <c r="R118" s="35" t="s">
        <v>680</v>
      </c>
      <c r="S118" s="30" t="s">
        <v>681</v>
      </c>
      <c r="T118" s="30" t="s">
        <v>675</v>
      </c>
      <c r="U118" s="30"/>
      <c r="V118" s="9"/>
      <c r="W118" s="27"/>
      <c r="X118" s="27"/>
      <c r="Y118" s="27"/>
      <c r="Z118" s="27"/>
      <c r="AA118" s="27"/>
      <c r="AB118" s="27"/>
      <c r="AC118" s="9" t="s">
        <v>49</v>
      </c>
      <c r="AD118" s="27" t="s">
        <v>50</v>
      </c>
      <c r="AE118" s="28">
        <v>115073800800</v>
      </c>
      <c r="AF118" s="27" t="s">
        <v>367</v>
      </c>
      <c r="AG118" s="27" t="s">
        <v>682</v>
      </c>
      <c r="AH118" s="41">
        <f>IF(ISBLANK(SessionTracker[[#This Row],[Preferred Mentor Selected On]]),"",SessionTracker[[#This Row],[Preferred Mentor Selected On]]-WEEKDAY(SessionTracker[[#This Row],[Preferred Mentor Selected On]],2)+1)</f>
        <v>46097</v>
      </c>
      <c r="AI118" s="40">
        <f>IF(ISBLANK(SessionTracker[[#This Row],[Meeting Date]]),"",SessionTracker[[#This Row],[Meeting Date]]-WEEKDAY(SessionTracker[[#This Row],[Meeting Date]],2)+1)</f>
        <v>46111</v>
      </c>
    </row>
    <row r="119" spans="1:35" ht="19.2" customHeight="1" x14ac:dyDescent="0.3">
      <c r="A119" s="24" t="s">
        <v>683</v>
      </c>
      <c r="B119" s="6" t="s">
        <v>684</v>
      </c>
      <c r="C119" s="7" t="s">
        <v>40</v>
      </c>
      <c r="D119" s="8" t="s">
        <v>74</v>
      </c>
      <c r="E119" s="8" t="s">
        <v>371</v>
      </c>
      <c r="F119" s="8"/>
      <c r="G119" s="9" t="s">
        <v>43</v>
      </c>
      <c r="H119" s="5"/>
      <c r="I119" s="5"/>
      <c r="J119" s="5"/>
      <c r="K119" s="23">
        <v>46009</v>
      </c>
      <c r="L119" s="23">
        <v>46009</v>
      </c>
      <c r="M119" s="27"/>
      <c r="N119" s="27"/>
      <c r="O119" s="10" t="s">
        <v>44</v>
      </c>
      <c r="P119" s="30"/>
      <c r="Q119" s="30"/>
      <c r="R119" s="30"/>
      <c r="S119" s="30" t="s">
        <v>372</v>
      </c>
      <c r="T119" s="30" t="s">
        <v>372</v>
      </c>
      <c r="U119" s="30"/>
      <c r="V119" s="9"/>
      <c r="W119" s="27"/>
      <c r="X119" s="27"/>
      <c r="Y119" s="27"/>
      <c r="Z119" s="27"/>
      <c r="AA119" s="27"/>
      <c r="AB119" s="27"/>
      <c r="AC119" s="9" t="s">
        <v>60</v>
      </c>
      <c r="AD119" s="27">
        <v>0</v>
      </c>
      <c r="AE119" s="28">
        <v>0</v>
      </c>
      <c r="AF119" s="27" t="s">
        <v>317</v>
      </c>
      <c r="AG119" s="27" t="s">
        <v>685</v>
      </c>
      <c r="AH119" s="41">
        <f>IF(ISBLANK(SessionTracker[[#This Row],[Preferred Mentor Selected On]]),"",SessionTracker[[#This Row],[Preferred Mentor Selected On]]-WEEKDAY(SessionTracker[[#This Row],[Preferred Mentor Selected On]],2)+1)</f>
        <v>46006</v>
      </c>
      <c r="AI119" s="40">
        <f>IF(ISBLANK(SessionTracker[[#This Row],[Meeting Date]]),"",SessionTracker[[#This Row],[Meeting Date]]-WEEKDAY(SessionTracker[[#This Row],[Meeting Date]],2)+1)</f>
        <v>46006</v>
      </c>
    </row>
    <row r="120" spans="1:35" ht="19.2" customHeight="1" x14ac:dyDescent="0.3">
      <c r="A120" s="24" t="s">
        <v>686</v>
      </c>
      <c r="B120" s="6" t="s">
        <v>430</v>
      </c>
      <c r="C120" s="7" t="s">
        <v>84</v>
      </c>
      <c r="D120" s="8" t="s">
        <v>41</v>
      </c>
      <c r="E120" s="8" t="s">
        <v>68</v>
      </c>
      <c r="F120" s="8" t="s">
        <v>687</v>
      </c>
      <c r="G120" s="9" t="s">
        <v>43</v>
      </c>
      <c r="H120" s="5">
        <v>46072</v>
      </c>
      <c r="I120" s="5">
        <v>46072</v>
      </c>
      <c r="J120" s="5">
        <v>46072</v>
      </c>
      <c r="K120" s="5">
        <v>46072</v>
      </c>
      <c r="L120" s="23">
        <v>46076</v>
      </c>
      <c r="M120" s="27"/>
      <c r="N120" s="27"/>
      <c r="O120" s="10" t="s">
        <v>44</v>
      </c>
      <c r="P120" s="30"/>
      <c r="Q120" s="35" t="s">
        <v>688</v>
      </c>
      <c r="R120" s="35" t="s">
        <v>689</v>
      </c>
      <c r="S120" s="30" t="s">
        <v>690</v>
      </c>
      <c r="T120" s="35" t="s">
        <v>691</v>
      </c>
      <c r="U120" s="30"/>
      <c r="V120" s="9"/>
      <c r="W120" s="27"/>
      <c r="X120" s="27"/>
      <c r="Y120" s="27"/>
      <c r="Z120" s="27"/>
      <c r="AA120" s="27"/>
      <c r="AB120" s="27"/>
      <c r="AC120" s="9" t="s">
        <v>49</v>
      </c>
      <c r="AD120" s="27" t="s">
        <v>50</v>
      </c>
      <c r="AE120" s="28">
        <v>115058872547</v>
      </c>
      <c r="AF120" s="27" t="s">
        <v>51</v>
      </c>
      <c r="AG120" s="27" t="s">
        <v>692</v>
      </c>
      <c r="AH120" s="41">
        <f>IF(ISBLANK(SessionTracker[[#This Row],[Preferred Mentor Selected On]]),"",SessionTracker[[#This Row],[Preferred Mentor Selected On]]-WEEKDAY(SessionTracker[[#This Row],[Preferred Mentor Selected On]],2)+1)</f>
        <v>46069</v>
      </c>
      <c r="AI120" s="40">
        <f>IF(ISBLANK(SessionTracker[[#This Row],[Meeting Date]]),"",SessionTracker[[#This Row],[Meeting Date]]-WEEKDAY(SessionTracker[[#This Row],[Meeting Date]],2)+1)</f>
        <v>46076</v>
      </c>
    </row>
    <row r="121" spans="1:35" ht="19.2" customHeight="1" x14ac:dyDescent="0.3">
      <c r="A121" s="24" t="s">
        <v>693</v>
      </c>
      <c r="B121" s="6" t="s">
        <v>694</v>
      </c>
      <c r="C121" s="7" t="s">
        <v>40</v>
      </c>
      <c r="D121" s="8" t="s">
        <v>41</v>
      </c>
      <c r="E121" s="8" t="s">
        <v>695</v>
      </c>
      <c r="F121" s="8" t="s">
        <v>696</v>
      </c>
      <c r="G121" s="9" t="s">
        <v>43</v>
      </c>
      <c r="H121" s="5">
        <v>46073</v>
      </c>
      <c r="I121" s="5">
        <v>46044</v>
      </c>
      <c r="J121" s="5">
        <v>46044</v>
      </c>
      <c r="K121" s="5">
        <v>46060</v>
      </c>
      <c r="L121" s="23">
        <v>46095</v>
      </c>
      <c r="M121" s="27"/>
      <c r="N121" s="27"/>
      <c r="O121" s="10" t="s">
        <v>44</v>
      </c>
      <c r="P121" s="30"/>
      <c r="Q121" s="35" t="s">
        <v>697</v>
      </c>
      <c r="R121" s="35" t="s">
        <v>698</v>
      </c>
      <c r="S121" s="30" t="s">
        <v>699</v>
      </c>
      <c r="T121" s="30" t="s">
        <v>699</v>
      </c>
      <c r="U121" s="30"/>
      <c r="V121" s="9"/>
      <c r="W121" s="27"/>
      <c r="X121" s="27"/>
      <c r="Y121" s="27"/>
      <c r="Z121" s="27"/>
      <c r="AA121" s="27"/>
      <c r="AB121" s="27"/>
      <c r="AC121" s="9" t="s">
        <v>49</v>
      </c>
      <c r="AD121" s="27" t="s">
        <v>50</v>
      </c>
      <c r="AE121" s="28">
        <v>115061950102</v>
      </c>
      <c r="AF121" s="27" t="s">
        <v>51</v>
      </c>
      <c r="AG121" s="27" t="s">
        <v>670</v>
      </c>
      <c r="AH121" s="41">
        <f>IF(ISBLANK(SessionTracker[[#This Row],[Preferred Mentor Selected On]]),"",SessionTracker[[#This Row],[Preferred Mentor Selected On]]-WEEKDAY(SessionTracker[[#This Row],[Preferred Mentor Selected On]],2)+1)</f>
        <v>46055</v>
      </c>
      <c r="AI121" s="40">
        <f>IF(ISBLANK(SessionTracker[[#This Row],[Meeting Date]]),"",SessionTracker[[#This Row],[Meeting Date]]-WEEKDAY(SessionTracker[[#This Row],[Meeting Date]],2)+1)</f>
        <v>46090</v>
      </c>
    </row>
    <row r="122" spans="1:35" ht="19.2" customHeight="1" x14ac:dyDescent="0.3">
      <c r="A122" s="24" t="s">
        <v>700</v>
      </c>
      <c r="B122" s="6" t="s">
        <v>626</v>
      </c>
      <c r="C122" s="7" t="s">
        <v>84</v>
      </c>
      <c r="D122" s="8" t="s">
        <v>41</v>
      </c>
      <c r="E122" s="8" t="s">
        <v>627</v>
      </c>
      <c r="F122" s="8" t="s">
        <v>628</v>
      </c>
      <c r="G122" s="9" t="s">
        <v>43</v>
      </c>
      <c r="H122" s="5">
        <v>46101</v>
      </c>
      <c r="I122" s="5">
        <v>46101</v>
      </c>
      <c r="J122" s="5">
        <v>46101</v>
      </c>
      <c r="K122" s="5">
        <v>46101</v>
      </c>
      <c r="L122" s="23">
        <v>46107</v>
      </c>
      <c r="M122" s="27"/>
      <c r="N122" s="27"/>
      <c r="O122" s="10" t="s">
        <v>44</v>
      </c>
      <c r="P122" s="30"/>
      <c r="Q122" s="35" t="s">
        <v>701</v>
      </c>
      <c r="R122" s="35" t="s">
        <v>702</v>
      </c>
      <c r="S122" s="30" t="s">
        <v>703</v>
      </c>
      <c r="T122" s="30" t="s">
        <v>704</v>
      </c>
      <c r="U122" s="30"/>
      <c r="V122" s="9"/>
      <c r="W122" s="27"/>
      <c r="X122" s="27"/>
      <c r="Y122" s="27"/>
      <c r="Z122" s="27"/>
      <c r="AA122" s="27"/>
      <c r="AB122" s="27"/>
      <c r="AC122" s="9" t="s">
        <v>49</v>
      </c>
      <c r="AD122" s="27" t="s">
        <v>50</v>
      </c>
      <c r="AE122" s="28">
        <v>115062696710</v>
      </c>
      <c r="AF122" s="27" t="s">
        <v>51</v>
      </c>
      <c r="AG122" s="27" t="s">
        <v>705</v>
      </c>
      <c r="AH122" s="41">
        <f>IF(ISBLANK(SessionTracker[[#This Row],[Preferred Mentor Selected On]]),"",SessionTracker[[#This Row],[Preferred Mentor Selected On]]-WEEKDAY(SessionTracker[[#This Row],[Preferred Mentor Selected On]],2)+1)</f>
        <v>46097</v>
      </c>
      <c r="AI122" s="40">
        <f>IF(ISBLANK(SessionTracker[[#This Row],[Meeting Date]]),"",SessionTracker[[#This Row],[Meeting Date]]-WEEKDAY(SessionTracker[[#This Row],[Meeting Date]],2)+1)</f>
        <v>46104</v>
      </c>
    </row>
    <row r="123" spans="1:35" ht="19.2" customHeight="1" x14ac:dyDescent="0.3">
      <c r="A123" s="24" t="s">
        <v>706</v>
      </c>
      <c r="B123" s="6" t="s">
        <v>707</v>
      </c>
      <c r="C123" s="7" t="s">
        <v>40</v>
      </c>
      <c r="D123" s="8" t="s">
        <v>41</v>
      </c>
      <c r="E123" s="8" t="s">
        <v>68</v>
      </c>
      <c r="F123" s="8"/>
      <c r="G123" s="9" t="s">
        <v>43</v>
      </c>
      <c r="H123" s="5"/>
      <c r="I123" s="5"/>
      <c r="J123" s="5"/>
      <c r="K123" s="23">
        <v>46129</v>
      </c>
      <c r="L123" s="23">
        <v>46129</v>
      </c>
      <c r="M123" s="27"/>
      <c r="N123" s="29"/>
      <c r="O123" s="10" t="s">
        <v>44</v>
      </c>
      <c r="P123" s="30"/>
      <c r="Q123" s="35" t="s">
        <v>708</v>
      </c>
      <c r="R123" s="30"/>
      <c r="S123" s="30" t="s">
        <v>709</v>
      </c>
      <c r="T123" s="35" t="s">
        <v>710</v>
      </c>
      <c r="U123" s="30"/>
      <c r="V123" s="9"/>
      <c r="W123" s="27"/>
      <c r="X123" s="27"/>
      <c r="Y123" s="27"/>
      <c r="Z123" s="27"/>
      <c r="AA123" s="27"/>
      <c r="AB123" s="27"/>
      <c r="AC123" s="9" t="s">
        <v>60</v>
      </c>
      <c r="AD123" s="27">
        <v>0</v>
      </c>
      <c r="AE123" s="28">
        <v>0</v>
      </c>
      <c r="AF123" s="27" t="s">
        <v>317</v>
      </c>
      <c r="AG123" s="27">
        <v>0</v>
      </c>
      <c r="AH123" s="41">
        <f>IF(ISBLANK(SessionTracker[[#This Row],[Preferred Mentor Selected On]]),"",SessionTracker[[#This Row],[Preferred Mentor Selected On]]-WEEKDAY(SessionTracker[[#This Row],[Preferred Mentor Selected On]],2)+1)</f>
        <v>46125</v>
      </c>
      <c r="AI123" s="40">
        <f>IF(ISBLANK(SessionTracker[[#This Row],[Meeting Date]]),"",SessionTracker[[#This Row],[Meeting Date]]-WEEKDAY(SessionTracker[[#This Row],[Meeting Date]],2)+1)</f>
        <v>46125</v>
      </c>
    </row>
    <row r="124" spans="1:35" ht="19.2" customHeight="1" x14ac:dyDescent="0.3">
      <c r="A124" s="24" t="s">
        <v>720</v>
      </c>
      <c r="B124" s="6" t="s">
        <v>127</v>
      </c>
      <c r="C124" s="7" t="s">
        <v>84</v>
      </c>
      <c r="D124" s="8" t="s">
        <v>74</v>
      </c>
      <c r="E124" s="8" t="s">
        <v>68</v>
      </c>
      <c r="F124" s="8"/>
      <c r="G124" s="9" t="s">
        <v>43</v>
      </c>
      <c r="H124" s="5">
        <v>45899</v>
      </c>
      <c r="I124" s="5"/>
      <c r="J124" s="5"/>
      <c r="K124" s="5">
        <v>45922</v>
      </c>
      <c r="L124" s="5">
        <v>45922</v>
      </c>
      <c r="M124" s="27"/>
      <c r="N124" s="29"/>
      <c r="O124" s="10" t="s">
        <v>44</v>
      </c>
      <c r="P124" s="30"/>
      <c r="Q124" s="35" t="s">
        <v>711</v>
      </c>
      <c r="R124" s="30"/>
      <c r="S124" s="30"/>
      <c r="T124" s="35" t="s">
        <v>712</v>
      </c>
      <c r="U124" s="27"/>
      <c r="V124" s="9" t="s">
        <v>48</v>
      </c>
      <c r="W124" s="27"/>
      <c r="X124" s="27"/>
      <c r="Y124" s="27"/>
      <c r="Z124" s="27"/>
      <c r="AA124" s="27"/>
      <c r="AB124" s="27"/>
      <c r="AC124" s="9" t="s">
        <v>49</v>
      </c>
      <c r="AD124" s="27"/>
      <c r="AE124" s="28"/>
      <c r="AF124" s="27"/>
      <c r="AG124" s="27"/>
      <c r="AH124" s="41">
        <f>IF(ISBLANK(SessionTracker[[#This Row],[Preferred Mentor Selected On]]),"",SessionTracker[[#This Row],[Preferred Mentor Selected On]]-WEEKDAY(SessionTracker[[#This Row],[Preferred Mentor Selected On]],2)+1)</f>
        <v>45922</v>
      </c>
      <c r="AI124" s="40">
        <f>IF(ISBLANK(SessionTracker[[#This Row],[Meeting Date]]),"",SessionTracker[[#This Row],[Meeting Date]]-WEEKDAY(SessionTracker[[#This Row],[Meeting Date]],2)+1)</f>
        <v>45922</v>
      </c>
    </row>
    <row r="125" spans="1:35" ht="19.2" customHeight="1" x14ac:dyDescent="0.3">
      <c r="A125" s="24" t="s">
        <v>721</v>
      </c>
      <c r="B125" s="6" t="s">
        <v>189</v>
      </c>
      <c r="C125" s="7" t="s">
        <v>73</v>
      </c>
      <c r="D125" s="8" t="s">
        <v>41</v>
      </c>
      <c r="E125" s="8" t="s">
        <v>68</v>
      </c>
      <c r="F125" s="7"/>
      <c r="G125" s="9" t="s">
        <v>43</v>
      </c>
      <c r="H125" s="5">
        <v>45924</v>
      </c>
      <c r="I125" s="5">
        <v>45959</v>
      </c>
      <c r="J125" s="5">
        <v>45959</v>
      </c>
      <c r="K125" s="5">
        <v>45959</v>
      </c>
      <c r="L125" s="5">
        <v>45959</v>
      </c>
      <c r="M125" s="27"/>
      <c r="N125" s="29"/>
      <c r="O125" s="10" t="s">
        <v>44</v>
      </c>
      <c r="P125" s="30"/>
      <c r="Q125" s="30"/>
      <c r="R125" s="30"/>
      <c r="S125" s="30" t="s">
        <v>47</v>
      </c>
      <c r="T125" s="30" t="s">
        <v>47</v>
      </c>
      <c r="U125" s="27"/>
      <c r="V125" s="9" t="s">
        <v>48</v>
      </c>
      <c r="W125" s="27"/>
      <c r="X125" s="27"/>
      <c r="Y125" s="27"/>
      <c r="Z125" s="27"/>
      <c r="AA125" s="27"/>
      <c r="AB125" s="27"/>
      <c r="AC125" s="9" t="s">
        <v>60</v>
      </c>
      <c r="AD125" s="27"/>
      <c r="AE125" s="28"/>
      <c r="AF125" s="27"/>
      <c r="AG125" s="27"/>
      <c r="AH125" s="41"/>
      <c r="AI125" s="40"/>
    </row>
  </sheetData>
  <phoneticPr fontId="10" type="noConversion"/>
  <dataValidations count="8">
    <dataValidation type="list" sqref="Z126:Z389" xr:uid="{00000000-0002-0000-0000-000002000000}">
      <formula1>"Not Started,Scheduled,Completed,Blocked - Budget,Blocked - Availability,Escalated"</formula1>
      <formula2>0</formula2>
    </dataValidation>
    <dataValidation type="list" sqref="L126:N389 G2:G125" xr:uid="{00000000-0002-0000-0000-000003000000}">
      <formula1>"Sprint Connect,Post-Sprint Connect,Ad-Hoc,Follow-Up,Deep Dive"</formula1>
      <formula2>0</formula2>
    </dataValidation>
    <dataValidation sqref="L42:N125 K119 Q42:Q48 Q50:Q71 Q73:Q77 Q81 Q87:Q88 Q90 Q85 Q94 Q96 Q99:Q100 Q104 K123:K125 Q111:Q116 Q118:Q125 K71 K104 H124:L125 H2:L41 Z2:Z125 W2:W125" xr:uid="{94E09135-6379-4F4E-AC75-4847C334FE79}"/>
    <dataValidation type="list" sqref="W126:W389" xr:uid="{00000000-0002-0000-0000-000001000000}">
      <formula1>"Yes,No"</formula1>
      <formula2>0</formula2>
    </dataValidation>
    <dataValidation type="list" sqref="Q126:Q389" xr:uid="{00000000-0002-0000-0000-000000000000}">
      <formula1>"Scheduled,Completed,Rescheduled,Cancelled,No-Show"</formula1>
      <formula2>0</formula2>
    </dataValidation>
    <dataValidation type="list" sqref="O2:O125" xr:uid="{845374BD-1C93-41E8-9F65-F297EBB7EA40}">
      <formula1>"Scheduled,Completed,Rescheduled,Cancelled,No-Show"</formula1>
    </dataValidation>
    <dataValidation type="list" allowBlank="1" sqref="U2:U125" xr:uid="{66F021DC-9714-4DD9-8BEF-721EC7A085F8}">
      <formula1>"Yes,No"</formula1>
    </dataValidation>
    <dataValidation type="list" allowBlank="1" sqref="X2:X125" xr:uid="{BBEE5BF8-CBC3-4721-B46A-D7FA76E688C2}">
      <formula1>"Not Started,Scheduled,Completed,Blocked - Budget,Blocked - Availability,Escalated"</formula1>
    </dataValidation>
  </dataValidations>
  <hyperlinks>
    <hyperlink ref="Q69" r:id="rId1" xr:uid="{E97105EC-77C0-436A-B692-693CDBB1E0EC}"/>
    <hyperlink ref="Q26" r:id="rId2" xr:uid="{258E5824-4500-414B-AC61-51F5D1525B79}"/>
    <hyperlink ref="R70" r:id="rId3" xr:uid="{6C883B40-6BF4-4F60-9F20-B1AF5EB22F1B}"/>
    <hyperlink ref="Q70" r:id="rId4" xr:uid="{841194E1-73A3-4BF7-9746-2FCDAFF75808}"/>
    <hyperlink ref="Q76" r:id="rId5" xr:uid="{6283B498-39D7-44A6-B119-AA0F66A8AFAB}"/>
    <hyperlink ref="R69" r:id="rId6" xr:uid="{8AD256EE-965D-4974-B03F-A9FC2F5DDC2A}"/>
    <hyperlink ref="Q87" r:id="rId7" xr:uid="{883B0828-C71F-4D0D-A42D-A17E13120EBC}"/>
    <hyperlink ref="R87" r:id="rId8" xr:uid="{5C4BEB08-3D35-4C3C-9960-5D4C3F9C0D61}"/>
    <hyperlink ref="T10" r:id="rId9" xr:uid="{D252C089-9E39-42C7-840D-3B80FFF0703D}"/>
    <hyperlink ref="Q10" r:id="rId10" xr:uid="{AEBB0C0A-70B6-43EE-A650-60F48311CFE1}"/>
    <hyperlink ref="T21" r:id="rId11" xr:uid="{643DEFE9-1767-4FDE-A8B7-EE676EDF2A24}"/>
    <hyperlink ref="Q21" r:id="rId12" xr:uid="{D847C269-281B-49F7-9593-987524DDD9DE}"/>
    <hyperlink ref="R21" r:id="rId13" xr:uid="{F15538B2-78B4-4385-A273-0AD470F72A32}"/>
    <hyperlink ref="R26" r:id="rId14" xr:uid="{2390F46E-0ED7-485B-AE4F-22BD63BBAC6F}"/>
    <hyperlink ref="T28" r:id="rId15" display="https://wadhwanifoundation-my.sharepoint.com/personal/vaibhav_mattas_wadhwanifoundation_org/_layouts/15/Doc.aspx?sourcedoc=%7BE7991494-6037-4784-9CB0-1BAD523742E5%7D&amp;file=Expert%20Connect%202%20_%20Manufyx%20x%20Wadhwani%20Accelerate.docx&amp;action=default&amp;mobileredirect=true&amp;DefaultItemOpen=1" xr:uid="{11D670D3-564D-4A90-9901-ACCDB2179DB5}"/>
    <hyperlink ref="Q28" r:id="rId16" xr:uid="{D0C3202E-B67B-45A5-99FB-908470BAAD77}"/>
    <hyperlink ref="R28" r:id="rId17" xr:uid="{8E5D1470-3E8E-49CE-B6AD-20598543E25C}"/>
    <hyperlink ref="R29" r:id="rId18" xr:uid="{EAB213F4-E84C-4300-AFDE-26D50D5A06C5}"/>
    <hyperlink ref="T29" r:id="rId19" display="https://wadhwanifoundation-my.sharepoint.com/personal/vaibhav_mattas_wadhwanifoundation_org/_layouts/15/Doc.aspx?sourcedoc=%7BAAE36574-79A5-4554-8AE7-FDDAC4D4B0F8%7D&amp;file=Expert%20Connect%203%20_%20Manufyx%20x%20Wadhwani%20Accelerate.docx&amp;action=default&amp;mobileredirect=true&amp;DefaultItemOpen=1" xr:uid="{6662454A-D3D9-41F8-98C4-EA6A9F06E255}"/>
    <hyperlink ref="Q29" r:id="rId20" xr:uid="{A1A947E3-B037-4C4F-8206-AF83B30E2CB3}"/>
    <hyperlink ref="R34" r:id="rId21" xr:uid="{90E608D9-826D-4CDB-92DE-1B888C54F676}"/>
    <hyperlink ref="T33" r:id="rId22" display="https://wadhwanifoundation-my.sharepoint.com/personal/vaibhav_mattas_wadhwanifoundation_org/_layouts/15/Doc.aspx?sourcedoc=%7B227132A5-D4B9-497B-8730-C28423B9A0FC%7D&amp;file=Expert%20Connect%201%20_%20Vaultastic%20x%20Wadhwani%20Accelerate.docx&amp;action=default&amp;mobileredirect=true&amp;DefaultItemOpen=1" xr:uid="{251C003A-D1BD-40D6-9B1D-05AAC1C8FA7D}"/>
    <hyperlink ref="T34" r:id="rId23" display="https://wadhwanifoundation-my.sharepoint.com/personal/vaibhav_mattas_wadhwanifoundation_org/_layouts/15/Doc.aspx?sourcedoc=%7B275C080B-6C9B-4711-8130-6C4FD072F70C%7D&amp;file=Expert%20Connect%202%20_%20Vaultastic%20x%20Wadhwani%20Accelerate.docx&amp;action=default&amp;mobileredirect=true&amp;DefaultItemOpen=1" xr:uid="{88A591BE-30EA-4FE6-9DC1-BA11C4AEB750}"/>
    <hyperlink ref="Q34" r:id="rId24" xr:uid="{5F8AE6C2-04E5-448D-A54E-BB51F595E234}"/>
    <hyperlink ref="R33" r:id="rId25" xr:uid="{8636D72F-6E92-423E-8142-F89102913E6D}"/>
    <hyperlink ref="Q33" r:id="rId26" xr:uid="{FC8D35AC-A95C-4C7B-BBC9-7CAB841E6685}"/>
    <hyperlink ref="T35" r:id="rId27" display="https://wadhwanifoundation-my.sharepoint.com/personal/vaibhav_mattas_wadhwanifoundation_org/_layouts/15/Doc.aspx?sourcedoc=%7B7767E729-A0AA-4ED9-80F0-F956E2752B2E%7D&amp;file=Expert%20Connect%203%20_%20Vaultastic%20x%20Wadhwani%20Accelerate.docx&amp;action=default&amp;mobileredirect=true&amp;DefaultItemOpen=1" xr:uid="{BC7F7369-33C7-4E23-9D97-BAB2192787E2}"/>
    <hyperlink ref="Q35" r:id="rId28" xr:uid="{CD9229BF-80A3-422D-AE8D-82953783E8AE}"/>
    <hyperlink ref="T38" r:id="rId29" display="https://wadhwanifoundation-my.sharepoint.com/personal/vaibhav_mattas_wadhwanifoundation_org/_layouts/15/Doc.aspx?sourcedoc=%7B3CB09A81-5B66-46A0-A872-3B69827CCC78%7D&amp;file=Expert%20Connect%20_%20Green%20Pods%20x%20Wadhwani%20Accelerate.docx&amp;action=default&amp;mobileredirect=true&amp;DefaultItemOpen=1" xr:uid="{BD756692-D3B9-46E7-BBDF-8EFB4349EDA7}"/>
    <hyperlink ref="R35" r:id="rId30" xr:uid="{6F1DDAA9-1770-4818-8DA9-B4E0A58AFFA4}"/>
    <hyperlink ref="Q38" r:id="rId31" xr:uid="{9A75AC14-C628-4EBE-B70A-E022B982FACC}"/>
    <hyperlink ref="R38" r:id="rId32" xr:uid="{9D6771AF-B16C-4193-A933-A156931DD1F5}"/>
    <hyperlink ref="T49" r:id="rId33" display="https://wadhwanifoundation-my.sharepoint.com/personal/vaibhav_mattas_wadhwanifoundation_org/_layouts/15/Doc.aspx?sourcedoc=%7B3EB033BE-FD2A-487A-A40C-1688B7F3885B%7D&amp;file=Expert%20Connect%201%20_%20Atreya%20Innovations%20x%20Wadhwani%20Accelerate.docx&amp;action=default&amp;mobileredirect=true&amp;DefaultItemOpen=1" xr:uid="{71696201-F3DE-4E90-B044-D6AA43D90866}"/>
    <hyperlink ref="Q49" r:id="rId34" xr:uid="{348369AA-6991-414D-852A-104F901B9D27}"/>
    <hyperlink ref="T50" r:id="rId35" display="https://wadhwanifoundation-my.sharepoint.com/personal/vaibhav_mattas_wadhwanifoundation_org/_layouts/15/Doc.aspx?sourcedoc=%7BD6161283-CA3E-4A20-B503-CBE867467E02%7D&amp;file=Expert%20Connect%203%20_%20Atreya%20Innovations%20x%20Wadhwani%20Accelerate.docx&amp;action=default&amp;mobileredirect=true&amp;DefaultItemOpen=1" xr:uid="{ECB969F3-E040-4406-9BC4-BA84C9519B55}"/>
    <hyperlink ref="Q50" r:id="rId36" xr:uid="{AF9799EF-9ADA-46B4-B550-AD300597E43A}"/>
    <hyperlink ref="R55" r:id="rId37" xr:uid="{89250CF9-7C0B-4894-80AB-6E7434BC743E}"/>
    <hyperlink ref="T55" r:id="rId38" display="https://wadhwanifoundation-my.sharepoint.com/personal/vaibhav_mattas_wadhwanifoundation_org/_layouts/15/Doc.aspx?sourcedoc=%7BDFC35B22-1044-40A6-BD39-55146A571F01%7D&amp;file=Expert%20Connect%201%20_%20Gyrodrive%20x%20Wadhwani%20Accelerate.docx&amp;action=default&amp;mobileredirect=true&amp;DefaultItemOpen=1" xr:uid="{07F8CB32-975C-4573-9618-7F7887602E5A}"/>
    <hyperlink ref="Q55" r:id="rId39" xr:uid="{BEEF3FAE-DE88-4450-973B-A5782498CD9C}"/>
    <hyperlink ref="T58" r:id="rId40" display="https://wadhwanifoundation-my.sharepoint.com/personal/vaibhav_mattas_wadhwanifoundation_org/_layouts/15/Doc.aspx?sourcedoc=%7BEA411141-DED8-46C4-9FF4-65AEBBF4FB33%7D&amp;file=Expert%20Connect%201%20_%20Frontierz%20x%20Wadhwani%20Accelerate.docx&amp;action=default&amp;mobileredirect=true&amp;DefaultItemOpen=1" xr:uid="{3F2B42FC-F571-4D86-8D32-C5FB7F8B59D0}"/>
    <hyperlink ref="Q58" r:id="rId41" xr:uid="{8ECA809E-D5A1-4426-8C8A-040D861B27A3}"/>
    <hyperlink ref="R58" r:id="rId42" xr:uid="{57BF0286-8BF6-47E3-AABF-1781E6D6638D}"/>
    <hyperlink ref="T59" r:id="rId43" xr:uid="{B194EAE4-2C49-42EB-8F03-7F8AE8253D2E}"/>
    <hyperlink ref="Q59" r:id="rId44" xr:uid="{CAE901DD-2BD4-4469-9C3A-09EF78DF4BD5}"/>
    <hyperlink ref="T61" r:id="rId45" display="https://wadhwanifoundation-my.sharepoint.com/personal/vaibhav_mattas_wadhwanifoundation_org/_layouts/15/Doc.aspx?sourcedoc=%7B69BCFBE6-E8A1-4CF3-8134-7D899FB1E56E%7D&amp;file=Expert%20Connect%202%20_%20LeanKloud%20x%20Wadhwani%20Accelerate.docx&amp;action=default&amp;mobileredirect=true&amp;DefaultItemOpen=1" xr:uid="{6727A016-BFAD-4D39-9517-DFE46CFE6EAA}"/>
    <hyperlink ref="Q61" r:id="rId46" xr:uid="{20CACD76-E159-4A76-BFAA-773E331EF288}"/>
    <hyperlink ref="R61" r:id="rId47" xr:uid="{AF8D4758-FA4F-4482-800A-741C4386CD65}"/>
    <hyperlink ref="T62" r:id="rId48" display="https://wadhwanifoundation-my.sharepoint.com/personal/vaibhav_mattas_wadhwanifoundation_org/_layouts/15/Doc.aspx?sourcedoc=%7B855DF62C-5226-4C3E-94D7-858B557126ED%7D&amp;file=Expert%20Connect%201%20_%20Velaan%20Mart%20x%20Wadhwani%20Accelerate.docx&amp;action=default&amp;mobileredirect=true&amp;DefaultItemOpen=1" xr:uid="{B87F9C86-BF9D-46E1-B862-80D1DC0D83DA}"/>
    <hyperlink ref="Q62" r:id="rId49" xr:uid="{9073B2B3-9E58-4203-B098-4F27CCC45063}"/>
    <hyperlink ref="T72" r:id="rId50" display="https://wadhwanifoundation-my.sharepoint.com/personal/vaibhav_mattas_wadhwanifoundation_org/_layouts/15/Doc.aspx?sourcedoc=%7B8F3985D4-D876-4198-BA41-DB54902C7BD8%7D&amp;file=Expert%20Connect%202%20_%20REAGRI%20x%20Wadhwani%20Accelerate.docx&amp;action=default&amp;mobileredirect=true&amp;DefaultItemOpen=1" xr:uid="{E6767EE5-00FF-4C8E-848E-B5F7DD2B7CDB}"/>
    <hyperlink ref="Q72" r:id="rId51" xr:uid="{459DF479-540D-4D2F-9016-7DAB9E065915}"/>
    <hyperlink ref="R72" r:id="rId52" xr:uid="{7094AADE-0887-4B80-A325-510C78AC66A3}"/>
    <hyperlink ref="R74" r:id="rId53" xr:uid="{597CD946-8488-48B9-A14D-4AE9F3111930}"/>
    <hyperlink ref="T77" r:id="rId54" display="https://wadhwanifoundation-my.sharepoint.com/personal/vaibhav_mattas_wadhwanifoundation_org/_layouts/15/Doc.aspx?sourcedoc=%7B74A8B764-374D-44A6-85A1-6FE1F44C0AEE%7D&amp;file=Expert%20Connect%201%20_%20Stembotix%20x%20Wadhwani%20Accelerate.docx&amp;action=default&amp;mobileredirect=true&amp;DefaultItemOpen=1" xr:uid="{3206EA05-7F8A-4805-84D4-EDC4F4043E99}"/>
    <hyperlink ref="R77" r:id="rId55" xr:uid="{CC91C3D7-DE26-4EEB-8793-EC8C95F177B0}"/>
    <hyperlink ref="Q77" r:id="rId56" xr:uid="{2F462E42-8E72-462D-A74B-20732BE63B01}"/>
    <hyperlink ref="R78" r:id="rId57" xr:uid="{3208D4E4-A485-4063-966C-F80FC34992FA}"/>
    <hyperlink ref="T78" r:id="rId58" display="https://wadhwanifoundation-my.sharepoint.com/personal/vaibhav_mattas_wadhwanifoundation_org/_layouts/15/Doc.aspx?sourcedoc=%7B12F654CD-BB18-466D-9989-8504E5CA3B89%7D&amp;file=Expert%20Connect%202%20_%20StemBotix%20x%20Wadhwani%20Accelerate.docx&amp;action=default&amp;mobileredirect=true&amp;DefaultItemOpen=1" xr:uid="{3EA592BE-9DCF-4FFB-818F-5D170E4B230C}"/>
    <hyperlink ref="Q78" r:id="rId59" xr:uid="{A6AB1BE6-7232-4473-BC8D-3F046547B768}"/>
    <hyperlink ref="R79" r:id="rId60" xr:uid="{7C6CF425-4D6D-4076-BE5D-FA6C6CA03A38}"/>
    <hyperlink ref="T79" r:id="rId61" display="https://wadhwanifoundation-my.sharepoint.com/personal/vaibhav_mattas_wadhwanifoundation_org/_layouts/15/Doc.aspx?sourcedoc=%7BD87A12DB-83E1-433D-9C42-CB35B5E10116%7D&amp;file=Expert%20Connect%203%20_%20Stembotix%20x%20Wadhwani%20Accelerate%20(1).docx&amp;action=default&amp;mobileredirect=true&amp;DefaultItemOpen=1" xr:uid="{0C26E0CB-9597-4D89-B353-F80D48A9F7E5}"/>
    <hyperlink ref="Q79" r:id="rId62" xr:uid="{B9740ED1-42F1-4A0C-99AA-17ADBA264B63}"/>
    <hyperlink ref="T80" r:id="rId63" display="https://wadhwanifoundation-my.sharepoint.com/personal/vaibhav_mattas_wadhwanifoundation_org/_layouts/15/Doc.aspx?sourcedoc=%7B1335BA6A-9B6B-4182-8E5A-3CAA73A707E8%7D&amp;file=Expert%20Connect%201%20_%20Ask%20Eva%20x%20Wadhwani%20Accelerate.docx&amp;action=default&amp;mobileredirect=true&amp;DefaultItemOpen=1" xr:uid="{CD7B6B75-4DAA-4742-B8C2-B6A40D198040}"/>
    <hyperlink ref="Q80" r:id="rId64" xr:uid="{C5C96E8C-942B-4CAD-859D-0E40EC77E4D3}"/>
    <hyperlink ref="R80" r:id="rId65" xr:uid="{55B78760-6ADA-4073-A66E-6B46E0FB2AAF}"/>
    <hyperlink ref="T82" r:id="rId66" display="https://wadhwanifoundation-my.sharepoint.com/personal/vaibhav_mattas_wadhwanifoundation_org/_layouts/15/Doc.aspx?sourcedoc=%7B9B813AB0-A1D2-40F8-8753-49F285F365BC%7D&amp;file=Expert%20Connect%201%20_%20Servercake%20x%20Wadhwani%20Accelerate.docx&amp;action=default&amp;mobileredirect=true&amp;DefaultItemOpen=1" xr:uid="{6C23EDAC-673F-41A9-BD01-8A400A1EDEA7}"/>
    <hyperlink ref="Q82" r:id="rId67" xr:uid="{0CAA15A4-080A-4CAE-A927-A1EDB0FCED72}"/>
    <hyperlink ref="R82" r:id="rId68" xr:uid="{30BC452F-7DBC-4FC7-AEF3-900C89F5C77F}"/>
    <hyperlink ref="R83" r:id="rId69" xr:uid="{91D1BC8E-ACF1-4258-ADDD-6CD14B220808}"/>
    <hyperlink ref="T83" r:id="rId70" display="https://wadhwanifoundation-my.sharepoint.com/personal/vaibhav_mattas_wadhwanifoundation_org/_layouts/15/Doc.aspx?sourcedoc=%7B77A14642-69C9-4034-B7A9-5F11BE139CA2%7D&amp;file=Expert%20Connect%201%20_%20MyHarvest%C2%A0Farms%20x%20Wadhwani%20Accelerate.docx&amp;action=default&amp;mobileredirect=true&amp;DefaultItemOpen=1" xr:uid="{E34A4CFE-8336-4EE8-9B15-0A949BC3922C}"/>
    <hyperlink ref="Q83" r:id="rId71" xr:uid="{F61848B2-7E2B-482D-ADE3-780EBA84B7DA}"/>
    <hyperlink ref="T84" r:id="rId72" display="https://wadhwanifoundation-my.sharepoint.com/personal/vaibhav_mattas_wadhwanifoundation_org/_layouts/15/Doc.aspx?sourcedoc=%7BD090E6D8-2847-453C-BA87-3C2D6296B42F%7D&amp;file=Expert%20Connect%201%20_%20Botminds.ai%20x%20Wadhwani%20Accelerate.docx&amp;action=default&amp;mobileredirect=true&amp;DefaultItemOpen=1" xr:uid="{4C3FE4A2-B72F-421E-80DA-8AF8D6439474}"/>
    <hyperlink ref="R84" r:id="rId73" xr:uid="{6020BA43-39F3-427B-9EEF-0F22E2DA5DB2}"/>
    <hyperlink ref="Q84" r:id="rId74" xr:uid="{C5F67D26-4D57-40AB-8735-BE90A2606026}"/>
    <hyperlink ref="T89" r:id="rId75" display="https://wadhwanifoundation-my.sharepoint.com/personal/vaibhav_mattas_wadhwanifoundation_org/_layouts/15/Doc.aspx?sourcedoc=%7B55B6A256-6C5E-4380-8E56-3531CA56B8E5%7D&amp;file=Expert%20Connect%20_%20Uravu%20Labs%20x%20Wadhwani%20Accelerate.docx&amp;action=default&amp;mobileredirect=true&amp;DefaultItemOpen=1" xr:uid="{2F810445-F8CE-4D2E-8FAB-94245FB66022}"/>
    <hyperlink ref="Q89" r:id="rId76" xr:uid="{D55462A4-2943-4FC1-B930-B2D18C2783A2}"/>
    <hyperlink ref="R89" r:id="rId77" xr:uid="{A10E9D2D-F736-4924-89BC-F23CA13A0B16}"/>
    <hyperlink ref="T91" r:id="rId78" display="https://wadhwanifoundation-my.sharepoint.com/personal/vaibhav_mattas_wadhwanifoundation_org/_layouts/15/Doc.aspx?sourcedoc=%7BA2B4FFE4-B0CB-4616-BB01-36BF2FA18E33%7D&amp;file=Expert%20Connect%201%20_%20NutriRasoi%20x%20Wadhwani%20Accelerate%20(1).docx&amp;action=default&amp;mobileredirect=true&amp;DefaultItemOpen=1" xr:uid="{28412B70-5DFD-49C9-8452-91490D8541FC}"/>
    <hyperlink ref="R92" r:id="rId79" xr:uid="{430668A4-45A0-4641-BCE8-99D575B58723}"/>
    <hyperlink ref="R91" r:id="rId80" xr:uid="{BDB24D43-A247-47F5-AD2E-4093D4562338}"/>
    <hyperlink ref="Q121" r:id="rId81" xr:uid="{A3DE7B97-E715-4E4F-9258-3C2E986A9A9C}"/>
    <hyperlink ref="Q118" r:id="rId82" xr:uid="{40F1B335-31C8-4825-8F03-8029E888C51B}"/>
    <hyperlink ref="Q116" r:id="rId83" xr:uid="{07EE1574-3CF9-4395-BA63-C82C96F7FC6E}"/>
    <hyperlink ref="Q113" r:id="rId84" xr:uid="{505D283A-D709-491D-B469-F20ACE646722}"/>
    <hyperlink ref="Q112" r:id="rId85" xr:uid="{09FFF4F2-1EDE-4218-ACC4-F1FCD88700D3}"/>
    <hyperlink ref="Q122" r:id="rId86" xr:uid="{EDBBA63C-AE1D-4D4E-8667-BEA5F0DD15BD}"/>
    <hyperlink ref="Q111" r:id="rId87" xr:uid="{E6A302D9-3949-41EF-BFCA-DD7B76CD82D7}"/>
    <hyperlink ref="Q91" r:id="rId88" xr:uid="{55B9096C-7B76-4126-8E5F-EB4D056EEC93}"/>
    <hyperlink ref="T92" r:id="rId89" xr:uid="{ABB7D454-7A64-4A0D-A9F0-6107C067B386}"/>
    <hyperlink ref="Q92" r:id="rId90" xr:uid="{DE672680-276F-4FFD-BF78-F4C22455E92E}"/>
    <hyperlink ref="R93" r:id="rId91" xr:uid="{E20A40B8-1AAB-4507-B2BD-428CEC8BDFB3}"/>
    <hyperlink ref="T93" r:id="rId92" display="https://wadhwanifoundation-my.sharepoint.com/personal/vaibhav_mattas_wadhwanifoundation_org/_layouts/15/Doc.aspx?sourcedoc=%7BDC63F2CE-F96F-437E-9A35-18B61FAEFD13%7D&amp;file=Expert%20Connect%201%20_%20Sarumam%20Pharmacy%20x%20Wadhwani%20Accelerate.docx&amp;action=default&amp;mobileredirect=true&amp;DefaultItemOpen=1" xr:uid="{E7619F42-A3A2-4734-92E8-A8901DE0AF68}"/>
    <hyperlink ref="Q93" r:id="rId93" xr:uid="{28BEA3E2-5F7F-43D9-8B11-0C483E839D38}"/>
    <hyperlink ref="T94" r:id="rId94" display="https://wadhwanifoundation-my.sharepoint.com/personal/vaibhav_mattas_wadhwanifoundation_org/_layouts/15/Doc.aspx?sourcedoc=%7BF9ADAE59-ADF6-483B-B40B-65AFEF07CB4A%7D&amp;file=Expert%20Connect%201%20_%20Airmeds%20x%20Wadhwani%20Accelerate.docx&amp;action=default&amp;mobileredirect=true&amp;DefaultItemOpen=1" xr:uid="{02176772-2723-4F00-BCFB-4C373487C518}"/>
    <hyperlink ref="T68" r:id="rId95" display="https://wadhwanifoundation-my.sharepoint.com/personal/vaibhav_mattas_wadhwanifoundation_org/_layouts/15/Doc.aspx?sourcedoc=%7BEAC985A3-3EB2-4DE1-9445-2F5FCB700CF4%7D&amp;file=Expert%20Connect%203%20_%20Raw%20Pharma%20x%20Wadhwani%20Accelerate.docx&amp;action=default&amp;mobileredirect=true&amp;DefaultItemOpen=1" xr:uid="{411544A6-0367-4989-B760-3EBD1EA2F761}"/>
    <hyperlink ref="Q68" r:id="rId96" xr:uid="{43A2E932-120E-4BFF-8E02-963DAE72DFE8}"/>
    <hyperlink ref="T86" r:id="rId97" display="https://wadhwanifoundation-my.sharepoint.com/personal/vaibhav_mattas_wadhwanifoundation_org/_layouts/15/Doc.aspx?sourcedoc=%7B464DE85B-03A0-4ABE-B4D7-8179EB5F48A6%7D&amp;file=Expert%20Connect%202%20_%20Dhobi%20G%20x%20Wadhwani%20Accelerate.docx&amp;action=default&amp;mobileredirect=true&amp;DefaultItemOpen=1" xr:uid="{F5840942-6437-49D9-820C-5FA473E7C114}"/>
    <hyperlink ref="Q86" r:id="rId98" xr:uid="{71CFA623-CB7C-4D4A-89CF-B6119DE8C2AE}"/>
    <hyperlink ref="R94" r:id="rId99" xr:uid="{DE6FE1A8-7EAA-487A-8E41-CEF79EE30CE1}"/>
    <hyperlink ref="Q94" r:id="rId100" xr:uid="{56807449-8CFB-4068-A60C-52AC3113B95F}"/>
    <hyperlink ref="R95" r:id="rId101" xr:uid="{C219E321-EE22-4282-AB04-B42626360303}"/>
    <hyperlink ref="T95" r:id="rId102" display="https://wadhwanifoundation-my.sharepoint.com/personal/vaibhav_mattas_wadhwanifoundation_org/_layouts/15/Doc.aspx?sourcedoc=%7B965A8195-49E4-47EC-93D9-CCCEE29A9892%7D&amp;file=Expert%20Connect%202%20_%20Airmeds%20x%20Wadhwani%20Accelerate.docx&amp;action=default&amp;mobileredirect=true&amp;DefaultItemOpen=1" xr:uid="{68FDB1F8-97DE-47AD-8DBC-879C9EF659D3}"/>
    <hyperlink ref="Q95" r:id="rId103" xr:uid="{84E7ABDF-6D74-4F40-ACE2-F81E98F5B51D}"/>
    <hyperlink ref="T96" r:id="rId104" display="https://wadhwanifoundation-my.sharepoint.com/personal/vaibhav_mattas_wadhwanifoundation_org/_layouts/15/Doc.aspx?sourcedoc=%7BDEC524CB-A9F1-4086-84CD-E65D483BE100%7D&amp;file=Expert%20Connect%201%20_%20Agriown%C2%A0Farmtech%20x%20Wadhwani%20Accelerate.docx&amp;action=default&amp;mobileredirect=true&amp;DefaultItemOpen=1" xr:uid="{9DE0F2D4-C599-4137-8A58-DB35DBBC3C70}"/>
    <hyperlink ref="Q96" r:id="rId105" xr:uid="{C6E022B0-345C-4987-A42E-F180866D096E}"/>
    <hyperlink ref="T97" r:id="rId106" display="https://wadhwanifoundation-my.sharepoint.com/personal/vaibhav_mattas_wadhwanifoundation_org/_layouts/15/Doc.aspx?sourcedoc=%7B06DC80ED-ED44-4F08-9D50-427152A30A0A%7D&amp;file=Expert%20Connect%201%20_%20Terrablu%20x%20Wadhwani%20Accelerate.docx&amp;action=default&amp;mobileredirect=true&amp;DefaultItemOpen=1" xr:uid="{9A38D7A5-DCCF-4250-8C98-FB415E58F4E5}"/>
    <hyperlink ref="Q97" r:id="rId107" xr:uid="{E1783080-A078-4067-8D38-DA1F80E8D2F0}"/>
    <hyperlink ref="T98" r:id="rId108" display="https://wadhwanifoundation-my.sharepoint.com/personal/vaibhav_mattas_wadhwanifoundation_org/_layouts/15/Doc.aspx?sourcedoc=%7B506C227A-E66F-4F21-8276-BC3E778CA860%7D&amp;file=Expert%20Connect%201%20_%20Exposit%20Immersive%20Solution%20x%20Wadhwani%20Accelerate.docx&amp;action=default&amp;mobileredirect=true&amp;DefaultItemOpen=1" xr:uid="{F65781C6-539A-41BF-98E8-3593677482B4}"/>
    <hyperlink ref="Q98" r:id="rId109" xr:uid="{1B21695F-F789-4B8A-B721-0755A0037EEE}"/>
    <hyperlink ref="T115" r:id="rId110" xr:uid="{CAE1F1A0-277D-4FF8-BB3C-E0F15D5481BE}"/>
    <hyperlink ref="R98" r:id="rId111" xr:uid="{50126A03-23BC-42BA-8B6E-99E1943E827C}"/>
    <hyperlink ref="R99" r:id="rId112" xr:uid="{0AA1153F-EA4F-4CB4-BC32-EAD5451B4D3B}"/>
    <hyperlink ref="T99" r:id="rId113" display="https://wadhwanifoundation-my.sharepoint.com/personal/vaibhav_mattas_wadhwanifoundation_org/_layouts/15/Doc.aspx?sourcedoc=%7BBF764CCC-E601-4FCA-B1E6-A45FFE6CA586%7D&amp;file=Expert%20Connect%201%20_%20Qarmatek%20x%20Wadhwani%20Accelerate.docx&amp;action=default&amp;mobileredirect=true&amp;DefaultItemOpen=1" xr:uid="{AB719E37-0366-4B74-AB70-B7FA777CF93C}"/>
    <hyperlink ref="Q99" r:id="rId114" xr:uid="{A9446457-D780-41FB-A341-AE79579DB2DB}"/>
    <hyperlink ref="T101" r:id="rId115" display="https://wadhwanifoundation-my.sharepoint.com/personal/vaibhav_mattas_wadhwanifoundation_org/_layouts/15/Doc.aspx?sourcedoc=%7BF6C57712-8E13-40CF-82FA-AF421142A75E%7D&amp;file=Expert%20Connect%202%20_%20Qarmatek%20x%20Wadhwani%20Accelerate.docx&amp;action=default&amp;mobileredirect=true&amp;DefaultItemOpen=1" xr:uid="{09777C54-3DD2-4D07-9751-BB2700E2F5B8}"/>
    <hyperlink ref="R101" r:id="rId116" xr:uid="{F5C723F7-C3EF-4F5B-893B-873F4CC3ECCD}"/>
    <hyperlink ref="Q101" r:id="rId117" xr:uid="{40E9D46C-0E8B-465D-A8D3-F71054A9285B}"/>
    <hyperlink ref="T102" r:id="rId118" display="https://wadhwanifoundation-my.sharepoint.com/personal/vaibhav_mattas_wadhwanifoundation_org/_layouts/15/Doc.aspx?sourcedoc=%7BE48FCC17-0BE3-4191-9D14-952F3CC18861%7D&amp;file=Expert%20Connect%204%20_%20Qarmatek%20x%20Wadhwani%20Accelerate%20(1).docx&amp;action=default&amp;mobileredirect=true&amp;DefaultItemOpen=1" xr:uid="{EBFF3A53-9E3C-4FE7-AABC-8775B01AF0C9}"/>
    <hyperlink ref="Q102" r:id="rId119" xr:uid="{56D210C9-CE0D-43D2-B2E2-F6B3FB0B2396}"/>
    <hyperlink ref="R102" r:id="rId120" xr:uid="{0D60937B-F2D2-4192-AF7C-375FC46D0A42}"/>
    <hyperlink ref="T103" r:id="rId121" display="https://wadhwanifoundation-my.sharepoint.com/personal/vaibhav_mattas_wadhwanifoundation_org/_layouts/15/Doc.aspx?sourcedoc=%7BA1C74437-E250-4932-8F0C-07DF7799C82F%7D&amp;file=Expert%20Connect%203%20_%20Qarmatek%20x%20Wadhwani%20Accelerate.docx&amp;action=default&amp;mobileredirect=true&amp;DefaultItemOpen=1" xr:uid="{B2C10B22-6768-40C1-99A7-1A9CF18C55C3}"/>
    <hyperlink ref="Q103" r:id="rId122" xr:uid="{DCA2682F-F9BA-4FDF-8DB9-54AB7606B8B7}"/>
    <hyperlink ref="R105" r:id="rId123" xr:uid="{49206E33-79A1-47FC-AC86-8C3BC7885BE7}"/>
    <hyperlink ref="T105" r:id="rId124" display="https://wadhwanifoundation-my.sharepoint.com/personal/vaibhav_mattas_wadhwanifoundation_org/_layouts/15/Doc.aspx?sourcedoc=%7BE0F85605-7132-41FB-A586-15472321A6FB%7D&amp;file=Expert%20Connect%201%20_%20Vastra%20App%20x%20Wadhwani%20Accelerate.docx&amp;action=default&amp;mobileredirect=true&amp;DefaultItemOpen=1" xr:uid="{DD0FB4EC-B8C2-42EB-99E7-20EF2ADA225E}"/>
    <hyperlink ref="Q105" r:id="rId125" xr:uid="{11938FD7-9A13-4A17-A5CB-346C0D66D3DB}"/>
    <hyperlink ref="R106" r:id="rId126" xr:uid="{7B91696D-A8D4-4341-A520-1607389A127A}"/>
    <hyperlink ref="T106" r:id="rId127" display="https://wadhwanifoundation-my.sharepoint.com/personal/vaibhav_mattas_wadhwanifoundation_org/_layouts/15/Doc.aspx?sourcedoc=%7B1137ED2F-4F5E-42F1-A3F7-0DFB2058E41D%7D&amp;file=Expert%20Connect%202%20_%20Vastra%20App%20x%20Wadhwani%20Accelerate.docx&amp;action=default&amp;mobileredirect=true&amp;DefaultItemOpen=1" xr:uid="{4F98700A-A0C1-4FEE-B163-A8119BFF9CA2}"/>
    <hyperlink ref="Q106" r:id="rId128" xr:uid="{CB97CFD5-26B7-4A2F-84CD-B6320303A48E}"/>
    <hyperlink ref="R111" r:id="rId129" xr:uid="{D290B328-B6DC-47B8-B3A7-AEB32AAF7199}"/>
    <hyperlink ref="R122" r:id="rId130" xr:uid="{F6612E89-5F61-44F4-AD39-2F281C5C11E0}"/>
    <hyperlink ref="R112" r:id="rId131" xr:uid="{CC3867C6-C6FD-414D-AC36-DD4FBDC7C981}"/>
    <hyperlink ref="R113" r:id="rId132" xr:uid="{33C1CDC1-DE0B-4617-9811-8104145CC19A}"/>
    <hyperlink ref="R116" r:id="rId133" xr:uid="{E038F6EC-1218-4C1C-9089-99C7D8ECCD0C}"/>
    <hyperlink ref="R118" r:id="rId134" xr:uid="{85EC4934-2ECB-45FE-BC36-64409DFF8E7C}"/>
    <hyperlink ref="R121" r:id="rId135" xr:uid="{50D02126-1AAF-4A06-9AF4-156FE1F2B17C}"/>
    <hyperlink ref="R115" r:id="rId136" xr:uid="{28AF2DA0-5AAF-4D2C-9E54-66E934425309}"/>
    <hyperlink ref="R107" r:id="rId137" xr:uid="{ECE80BE5-78F7-4A92-84A9-B9CFF2C8AE8B}"/>
    <hyperlink ref="T107" r:id="rId138" display="https://wadhwanifoundation-my.sharepoint.com/personal/vaibhav_mattas_wadhwanifoundation_org/_layouts/15/Doc.aspx?sourcedoc=%7B793A2BE1-5139-46E1-8FFF-1C23AC996FAF%7D&amp;file=Expert%20Connect%201%20_%20Padcare%20Labs%20x%20Wadhwani%20Accelerate.docx&amp;action=default&amp;mobileredirect=true&amp;DefaultItemOpen=1" xr:uid="{0A9573C5-3621-401A-A590-6BE58235DAD5}"/>
    <hyperlink ref="Q107" r:id="rId139" xr:uid="{17CFB813-0906-4D02-B1E7-E81728B38C3B}"/>
    <hyperlink ref="R103" r:id="rId140" xr:uid="{A9172D85-C0D8-40A8-9A6E-FD44A9C8A4FF}"/>
    <hyperlink ref="R100" r:id="rId141" xr:uid="{9481A5F8-5C85-433F-ABB4-F95035AF3DE5}"/>
    <hyperlink ref="R108" r:id="rId142" xr:uid="{BBB303A8-E982-4CDE-BF66-A53281F6E81E}"/>
    <hyperlink ref="T108" r:id="rId143" display="https://wadhwanifoundation-my.sharepoint.com/personal/vaibhav_mattas_wadhwanifoundation_org/_layouts/15/Doc.aspx?sourcedoc=%7BB9A87112-E4E6-44FA-81C0-DCD5FEEB7F90%7D&amp;file=Expert%20Connect%201%20_%20Hreedan%20Lifestyle%20x%20Wadhwani%20Accelerate.docx&amp;action=default&amp;mobileredirect=true&amp;DefaultItemOpen=1" xr:uid="{E1098F41-CF88-4B1F-830B-AD36C8AE493D}"/>
    <hyperlink ref="Q108" r:id="rId144" xr:uid="{B0A7B0BE-F1FE-4CE5-9BD8-34540C999805}"/>
    <hyperlink ref="R109" r:id="rId145" xr:uid="{DF27D289-D5A2-4B6C-AD3B-8F01EFC1B520}"/>
    <hyperlink ref="T109" r:id="rId146" display="https://wadhwanifoundation-my.sharepoint.com/personal/vaibhav_mattas_wadhwanifoundation_org/_layouts/15/Doc.aspx?sourcedoc=%7BE520159F-A1FD-4863-A7AD-BF8EAB0A1153%7D&amp;file=Expert%20Connect%201%20_%20Leap%20Info%20x%20Wadhwani%20Accelerate.docx&amp;action=default&amp;mobileredirect=true&amp;DefaultItemOpen=1" xr:uid="{F4C8BF51-95C6-4CEC-B16B-D616196EE784}"/>
    <hyperlink ref="Q109" r:id="rId147" xr:uid="{3B136B73-8FDE-448A-AA88-D4A948C23461}"/>
    <hyperlink ref="R110" r:id="rId148" xr:uid="{E46DFC58-4AF0-40EF-B4C7-4E94B91CA4DF}"/>
    <hyperlink ref="T110" r:id="rId149" display="https://wadhwanifoundation-my.sharepoint.com/personal/vaibhav_mattas_wadhwanifoundation_org/_layouts/15/Doc.aspx?sourcedoc=%7B51C508BF-A047-4C92-A12B-8DDB9BA6C3A0%7D&amp;file=Expert%20Connect%202%20_%20Leap%20Info%20x%20Wadhwani%20Accelerate.docx&amp;action=default&amp;mobileredirect=true&amp;DefaultItemOpen=1" xr:uid="{3035B1C9-5FD1-4BA9-A8C4-B04D35273156}"/>
    <hyperlink ref="Q110" r:id="rId150" xr:uid="{6DAA6A8F-A6C0-44F7-957D-3F389489F914}"/>
    <hyperlink ref="T114" r:id="rId151" display="https://wadhwanifoundation-my.sharepoint.com/personal/vaibhav_mattas_wadhwanifoundation_org/_layouts/15/Doc.aspx?sourcedoc=%7BB0E1E151-19FE-4BFF-9272-27EB663F8C4F%7D&amp;file=Expert%20Connect%201%20_%20Bebe%20Burp%20x%20Wadhwani%20Accelerate%20(1).docx&amp;action=default&amp;mobileredirect=true&amp;DefaultItemOpen=1" xr:uid="{BCC5F3B2-0565-4F9D-93AA-C67302F28F34}"/>
    <hyperlink ref="Q114" r:id="rId152" xr:uid="{F95187D6-A0E6-48F6-982B-393242824458}"/>
    <hyperlink ref="R114" r:id="rId153" xr:uid="{5AA2BC0E-C7AF-4002-96E8-97C4A14D9DB3}"/>
    <hyperlink ref="Q115" r:id="rId154" xr:uid="{BE738F92-AFF6-474A-AA33-1AD877E2203F}"/>
    <hyperlink ref="T117" r:id="rId155" display="https://wadhwanifoundation-my.sharepoint.com/personal/vaibhav_mattas_wadhwanifoundation_org/_layouts/15/Doc.aspx?sourcedoc=%7BECCC3279-322F-4F62-95EB-376408D83B42%7D&amp;file=Expert%20Connect%204%20_%20Eximburg%20International%20x%20Wadhwani%20Accelerate%20(2).docx&amp;action=default&amp;mobileredirect=true&amp;DefaultItemOpen=1" xr:uid="{F1FFC26C-BE49-4479-8999-DC6255FB18A0}"/>
    <hyperlink ref="Q117" r:id="rId156" xr:uid="{05AFD742-4867-4689-A5A2-D746BF5BB84B}"/>
    <hyperlink ref="T120" r:id="rId157" display="https://wadhwanifoundation-my.sharepoint.com/personal/vaibhav_mattas_wadhwanifoundation_org/_layouts/15/Doc.aspx?sourcedoc=%7BDA3353B6-5E40-4730-ACE4-686DD5BA9B82%7D&amp;file=Expert%20Connect%202%20_%20Aeronero%C2%A0Solutions%20x%20Wadhwani%20Accelerate%20(1).docx&amp;action=default&amp;mobileredirect=true&amp;DefaultItemOpen=1" xr:uid="{3FFF2E85-09DA-44BB-90B2-B933ECFFA6AF}"/>
    <hyperlink ref="Q120" r:id="rId158" xr:uid="{7C77CD77-E630-48B3-8B1F-E1E1C1590825}"/>
    <hyperlink ref="T123" r:id="rId159" xr:uid="{08A5EBF2-7ED1-46FE-B9AC-E2239E0FA8F2}"/>
    <hyperlink ref="Q123" r:id="rId160" xr:uid="{D091DE93-29DE-48AE-8DF2-1E6CCE0622AA}"/>
    <hyperlink ref="Q124" r:id="rId161" xr:uid="{799E56E5-CB50-4FD3-A0E4-352D4F61810F}"/>
    <hyperlink ref="T124" r:id="rId162" display="https://wadhwanifoundation-my.sharepoint.com/:x:/r/personal/accelerate_wadhwanifoundation_org/_layouts/15/doc2.aspx?action=edit&amp;sourcedoc=%7B5e806d0b-b05b-4163-9c44-a6519a6631cd%7D&amp;wdExp=TEAMS-TREATMENT&amp;web=1&amp;TeamsCID=9b687303-0a3c-4e7f-88ca-8b4844cfec7c&amp;xsdata=MDV8MDJ8fDU2OTI3MmE0ZDM3NDQ5ZjU5NmI1MDhkZWI0YWYxYTdlfDM4M2Q2Y2I3MGJhNDQ3OGU5MDc0NDE2ZDA4OWZiZWRjfDB8MHw2MzkxNDY4NjEyODk5NjkzMzN8VW5rbm93bnxWR1ZoYlhOVFpXTjFjbWwwZVZObGNuWnBZMlY4ZXlKRFFTSTZJbFJsWVcxelgwRlVVRk5sY25acFkyVmZVMUJQVEU5R0lpd2lWaUk2SWpBdU1DNHdNREF3SWl3aVVDSTZJbGRwYmpNeUlpd2lRVTRpT2lKUGRHaGxjaUlzSWxkVUlqb3hNWDA9fDF8TDJOb1lYUnpMekU1T2pjMFpUWmhabVUyTFRNeE1Ua3RORFU0WlMwNU9XVmxMV1l3TURoaU5URXhObU16T0Y5aE5tRmhNbUZtTXkweU5qQTJMVFF5WVRndFlUazNNaTA0TjJOaVpEa3dOREl6WkRKQWRXNXhMbWRpYkM1emNHRmpaWE12YldWemMyRm5aWE12TVRjM09UQTRPVE15Tmprd05nPT18OTcxYzY1YTAzMjI4NDk3MGZkNTYwOGRlYjRhZjFhN2R8YTE3NzNkMTJlODg5NDc1NGI1NDk1ZmUwNDZiNDk2MTQ%3D&amp;sdata=N1RVbVF5bHYyM01kZ2hjMkVYMFZJRmlZUG0yNVJTUkZ6bWRjT2xReTBkdz0%3D&amp;ovuser=383d6cb7-0ba4-478e-9074-416d089fbedc%2Cvaibhav.mattas%40wadhwanifoundation.org" xr:uid="{76B4085B-FAAD-42AB-A3AD-6BD1F33F6066}"/>
    <hyperlink ref="S21" r:id="rId163" display="https://wadhwanifoundation-my.sharepoint.com/:v:/g/personal/accelerate_wadhwanifoundation_org/IQDLw4OGyNXHRZMvK0PFQ0u-AciHevDngg3mnYEcMlCzzwc?e=wnqqHN&amp;nav=eyJyZWZlcnJhbEluZm8iOnsicmVmZXJyYWxBcHAiOiJTdHJlYW1XZWJBcHAiLCJyZWZlcnJhbFZpZXciOiJTaGFyZURpYWxvZy1MaW5rIiwicmVmZXJyYWxBcHBQbGF0Zm9ybSI6IldlYiIsInJlZmVycmFsTW9kZSI6InZpZXcifX0%3D" xr:uid="{E42B518C-FD3F-410A-A0BB-8471AA7DF97C}"/>
    <hyperlink ref="T76" r:id="rId164" display="https://wadhwanifoundation-my.sharepoint.com/personal/vaibhav_mattas_wadhwanifoundation_org/_layouts/15/Doc.aspx?sourcedoc=%7BB4ABD0DA-4096-4E54-B0F5-D29C4C6B11CB%7D&amp;file=Expert%20Connect%201%20_%20Rupiya%20Finnovations%20x%20Wadhwani%20Accelerate.docx&amp;action=default&amp;mobileredirect=true&amp;DefaultItemOpen=1" xr:uid="{7902E2BC-85CA-4389-B246-819635DE2686}"/>
    <hyperlink ref="R120" r:id="rId165" xr:uid="{B3A09685-070B-4A5D-A097-78089A6DE936}"/>
  </hyperlinks>
  <pageMargins left="0.75" right="0.75" top="1" bottom="1" header="0.511811023622047" footer="0.511811023622047"/>
  <pageSetup paperSize="9" orientation="portrait" horizontalDpi="300" verticalDpi="300"/>
  <tableParts count="1">
    <tablePart r:id="rId16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2686-9AFE-4C8F-A055-FC1763AE91C6}">
  <dimension ref="B1:I1"/>
  <sheetViews>
    <sheetView workbookViewId="0">
      <selection activeCell="B3" sqref="B3"/>
    </sheetView>
  </sheetViews>
  <sheetFormatPr defaultRowHeight="14.4" x14ac:dyDescent="0.3"/>
  <cols>
    <col min="2" max="2" width="12.109375" customWidth="1"/>
    <col min="3" max="3" width="14.6640625" customWidth="1"/>
    <col min="4" max="4" width="27.5546875" customWidth="1"/>
    <col min="5" max="5" width="35.109375" customWidth="1"/>
    <col min="6" max="6" width="26.5546875" customWidth="1"/>
    <col min="7" max="7" width="34.33203125" customWidth="1"/>
    <col min="8" max="8" width="9.44140625" customWidth="1"/>
    <col min="9" max="9" width="16.33203125" customWidth="1"/>
  </cols>
  <sheetData>
    <row r="1" spans="2:9" x14ac:dyDescent="0.3">
      <c r="B1" t="s">
        <v>3</v>
      </c>
      <c r="C1" t="s">
        <v>713</v>
      </c>
      <c r="D1" t="s">
        <v>714</v>
      </c>
      <c r="E1" t="s">
        <v>715</v>
      </c>
      <c r="F1" t="s">
        <v>716</v>
      </c>
      <c r="G1" t="s">
        <v>717</v>
      </c>
      <c r="H1" t="s">
        <v>718</v>
      </c>
      <c r="I1" t="s">
        <v>719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5068F-A662-45C3-B9D9-DC2D799744E6}">
  <dimension ref="A1:AH1"/>
  <sheetViews>
    <sheetView workbookViewId="0">
      <selection activeCell="J3" sqref="J3"/>
    </sheetView>
  </sheetViews>
  <sheetFormatPr defaultRowHeight="14.4" x14ac:dyDescent="0.3"/>
  <cols>
    <col min="1" max="9" width="2" bestFit="1" customWidth="1"/>
    <col min="10" max="23" width="3" bestFit="1" customWidth="1"/>
  </cols>
  <sheetData>
    <row r="1" spans="1:34" x14ac:dyDescent="0.3">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60A548-25EC-4A84-8375-68676451AD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Session Tracker</vt:lpstr>
      <vt:lpstr>Invoice Status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Meenakshi Singh</cp:lastModifiedBy>
  <cp:revision>0</cp:revision>
  <dcterms:created xsi:type="dcterms:W3CDTF">2026-04-14T14:38:57Z</dcterms:created>
  <dcterms:modified xsi:type="dcterms:W3CDTF">2026-05-22T03:56:50Z</dcterms:modified>
  <cp:category/>
  <cp:contentStatus/>
</cp:coreProperties>
</file>